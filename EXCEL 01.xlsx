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Desktop\Tops\"/>
    </mc:Choice>
  </mc:AlternateContent>
  <xr:revisionPtr revIDLastSave="0" documentId="13_ncr:1_{87C62AF4-CF29-4CE0-A628-B611A08646DD}" xr6:coauthVersionLast="47" xr6:coauthVersionMax="47" xr10:uidLastSave="{00000000-0000-0000-0000-000000000000}"/>
  <bookViews>
    <workbookView xWindow="-108" yWindow="-108" windowWidth="23256" windowHeight="12456" activeTab="1" xr2:uid="{936B4DA8-2C21-4BAF-8630-5B9005672BB7}"/>
  </bookViews>
  <sheets>
    <sheet name="Sheet1" sheetId="1" r:id="rId1"/>
    <sheet name="DATE FORM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" i="2" l="1"/>
  <c r="Z3" i="2" s="1"/>
  <c r="Y4" i="2"/>
  <c r="AA4" i="2" s="1"/>
  <c r="Y5" i="2"/>
  <c r="AB5" i="2" s="1"/>
  <c r="Y6" i="2"/>
  <c r="Z6" i="2" s="1"/>
  <c r="Y2" i="2"/>
  <c r="Z2" i="2" s="1"/>
  <c r="P4" i="2"/>
  <c r="Q2" i="2"/>
  <c r="Q3" i="2"/>
  <c r="Q4" i="2"/>
  <c r="Q5" i="2"/>
  <c r="Q6" i="2"/>
  <c r="O2" i="2"/>
  <c r="P2" i="2"/>
  <c r="P3" i="2"/>
  <c r="P5" i="2"/>
  <c r="P6" i="2"/>
  <c r="O3" i="2"/>
  <c r="O4" i="2"/>
  <c r="O5" i="2"/>
  <c r="O6" i="2"/>
  <c r="N3" i="2"/>
  <c r="N4" i="2"/>
  <c r="N5" i="2"/>
  <c r="N6" i="2"/>
  <c r="N2" i="2"/>
  <c r="K2" i="2"/>
  <c r="J2" i="2"/>
  <c r="D3" i="2"/>
  <c r="E3" i="2"/>
  <c r="F3" i="2"/>
  <c r="G3" i="2"/>
  <c r="D4" i="2"/>
  <c r="E4" i="2"/>
  <c r="F4" i="2"/>
  <c r="G4" i="2"/>
  <c r="D5" i="2"/>
  <c r="E5" i="2"/>
  <c r="F5" i="2"/>
  <c r="G5" i="2"/>
  <c r="D6" i="2"/>
  <c r="E6" i="2"/>
  <c r="F6" i="2"/>
  <c r="G6" i="2"/>
  <c r="G2" i="2"/>
  <c r="F2" i="2"/>
  <c r="E2" i="2"/>
  <c r="D2" i="2"/>
  <c r="D3" i="1"/>
  <c r="D4" i="1"/>
  <c r="D5" i="1"/>
  <c r="D2" i="1"/>
  <c r="B3" i="1"/>
  <c r="B4" i="1"/>
  <c r="B5" i="1"/>
  <c r="C3" i="1"/>
  <c r="C4" i="1"/>
  <c r="C5" i="1"/>
  <c r="C2" i="1"/>
  <c r="B2" i="1"/>
  <c r="D9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AA5" i="2" l="1"/>
  <c r="Z4" i="2"/>
  <c r="Z5" i="2"/>
  <c r="AB6" i="2"/>
  <c r="AA6" i="2"/>
  <c r="AB3" i="2"/>
  <c r="AB4" i="2"/>
  <c r="AA3" i="2"/>
  <c r="AB2" i="2"/>
  <c r="AA2" i="2"/>
</calcChain>
</file>

<file path=xl/sharedStrings.xml><?xml version="1.0" encoding="utf-8"?>
<sst xmlns="http://schemas.openxmlformats.org/spreadsheetml/2006/main" count="76" uniqueCount="51">
  <si>
    <t>Email</t>
  </si>
  <si>
    <t>ajayverma.12@xyz.com</t>
  </si>
  <si>
    <t>viratkohli.11@xtz.com</t>
  </si>
  <si>
    <t>sunilshetty.15@xyz.com</t>
  </si>
  <si>
    <t>vijaysharma.31@gmail.com</t>
  </si>
  <si>
    <t>order_id</t>
  </si>
  <si>
    <t>CA-2016-152156</t>
  </si>
  <si>
    <t>CA-2016-138688</t>
  </si>
  <si>
    <t>US-2015-108966</t>
  </si>
  <si>
    <t>CA-2014-115812</t>
  </si>
  <si>
    <t>CA-2017-114412</t>
  </si>
  <si>
    <t>CA-2016-161389</t>
  </si>
  <si>
    <t>US-2015-118983</t>
  </si>
  <si>
    <t>CA-2014-105893</t>
  </si>
  <si>
    <t>CA-2014-167164</t>
  </si>
  <si>
    <t>CA-2014-143336</t>
  </si>
  <si>
    <t>CA-2016-137330</t>
  </si>
  <si>
    <t>US-2017-156909</t>
  </si>
  <si>
    <t>CA-2015-106320</t>
  </si>
  <si>
    <t>CA-2016-121755</t>
  </si>
  <si>
    <t>US-2015-150630</t>
  </si>
  <si>
    <t>CA-2017-107727</t>
  </si>
  <si>
    <t>CA-2016-117590</t>
  </si>
  <si>
    <t>LEFT</t>
  </si>
  <si>
    <t>RIGHT</t>
  </si>
  <si>
    <t>MID</t>
  </si>
  <si>
    <t>LEN</t>
  </si>
  <si>
    <t>FIND</t>
  </si>
  <si>
    <t xml:space="preserve">FIND </t>
  </si>
  <si>
    <t>MID+FIND</t>
  </si>
  <si>
    <t>TASK -1</t>
  </si>
  <si>
    <t>TASK -2</t>
  </si>
  <si>
    <t xml:space="preserve">TASK 3 </t>
  </si>
  <si>
    <t>viratkohli.111@xtz.com</t>
  </si>
  <si>
    <t>sunilshetty.0@xyz.com</t>
  </si>
  <si>
    <t>vijaysharma.3131@gmail.com</t>
  </si>
  <si>
    <t>DATE</t>
  </si>
  <si>
    <t>DAY</t>
  </si>
  <si>
    <t>MONTH</t>
  </si>
  <si>
    <t>YEAR</t>
  </si>
  <si>
    <t>TODAY</t>
  </si>
  <si>
    <t>NOW</t>
  </si>
  <si>
    <t>TEXT-d</t>
  </si>
  <si>
    <t>text - mmm</t>
  </si>
  <si>
    <t>text-ddd</t>
  </si>
  <si>
    <t>text - month + year</t>
  </si>
  <si>
    <t>END OF MONTH DATE</t>
  </si>
  <si>
    <t>TODAY DATE</t>
  </si>
  <si>
    <t>YEAR DIFF</t>
  </si>
  <si>
    <t>MONTH - DIFF</t>
  </si>
  <si>
    <t>DATE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</si>
</sst>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2" borderId="0" xfId="0" applyFill="1"/>
    <xf numFmtId="0" fontId="1" fillId="2" borderId="0" xfId="1" applyFill="1"/>
    <xf numFmtId="0" fontId="0" fillId="0" borderId="1" xfId="0" applyBorder="1"/>
    <xf numFmtId="14" fontId="0" fillId="0" borderId="1" xfId="0" applyNumberFormat="1" applyBorder="1"/>
    <xf numFmtId="22" fontId="0" fillId="0" borderId="1" xfId="0" applyNumberFormat="1" applyBorder="1"/>
    <xf numFmtId="0" fontId="0" fillId="0" borderId="0" xfId="0" applyFill="1" applyBorder="1"/>
    <xf numFmtId="0" fontId="0" fillId="0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vijaysharma.3131@gmail.com" TargetMode="External"/><Relationship Id="rId3" Type="http://schemas.openxmlformats.org/officeDocument/2006/relationships/hyperlink" Target="mailto:sunilshetty.15@xyz.com" TargetMode="External"/><Relationship Id="rId7" Type="http://schemas.openxmlformats.org/officeDocument/2006/relationships/hyperlink" Target="mailto:sunilshetty.0@xyz.com" TargetMode="External"/><Relationship Id="rId2" Type="http://schemas.openxmlformats.org/officeDocument/2006/relationships/hyperlink" Target="mailto:viratkohli.11@xtz.com" TargetMode="External"/><Relationship Id="rId1" Type="http://schemas.openxmlformats.org/officeDocument/2006/relationships/hyperlink" Target="mailto:ajayverma.12@xyz.com" TargetMode="External"/><Relationship Id="rId6" Type="http://schemas.openxmlformats.org/officeDocument/2006/relationships/hyperlink" Target="mailto:viratkohli.111@xtz.com" TargetMode="External"/><Relationship Id="rId5" Type="http://schemas.openxmlformats.org/officeDocument/2006/relationships/hyperlink" Target="mailto:ajayverma.12@xyz.com" TargetMode="External"/><Relationship Id="rId4" Type="http://schemas.openxmlformats.org/officeDocument/2006/relationships/hyperlink" Target="mailto:vijaysharma.3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D95DE-B166-4C13-9618-3A6853550B11}">
  <dimension ref="A1:Q44"/>
  <sheetViews>
    <sheetView zoomScale="23" workbookViewId="0">
      <selection activeCell="T60" sqref="T60"/>
    </sheetView>
  </sheetViews>
  <sheetFormatPr defaultRowHeight="14.4" x14ac:dyDescent="0.3"/>
  <cols>
    <col min="1" max="1" width="24.5546875" customWidth="1"/>
    <col min="4" max="4" width="10.77734375" customWidth="1"/>
    <col min="14" max="14" width="24" customWidth="1"/>
  </cols>
  <sheetData>
    <row r="1" spans="1:17" x14ac:dyDescent="0.3">
      <c r="A1" t="s">
        <v>0</v>
      </c>
      <c r="B1" t="s">
        <v>30</v>
      </c>
      <c r="C1" t="s">
        <v>31</v>
      </c>
      <c r="D1" t="s">
        <v>32</v>
      </c>
    </row>
    <row r="2" spans="1:17" x14ac:dyDescent="0.3">
      <c r="A2" s="1" t="s">
        <v>1</v>
      </c>
      <c r="B2" t="str">
        <f>RIGHT(A2,7)</f>
        <v>xyz.com</v>
      </c>
      <c r="C2" t="str">
        <f>MID(A2,FIND(".",A2)+1,2)</f>
        <v>12</v>
      </c>
      <c r="D2" t="str">
        <f>LEFT(A2,FIND(".",A2)-1)</f>
        <v>ajayverma</v>
      </c>
      <c r="M2" s="2"/>
      <c r="N2" s="2"/>
      <c r="O2" s="2"/>
      <c r="P2" s="2"/>
      <c r="Q2" s="2"/>
    </row>
    <row r="3" spans="1:17" x14ac:dyDescent="0.3">
      <c r="A3" s="1" t="s">
        <v>2</v>
      </c>
      <c r="B3" t="str">
        <f t="shared" ref="B3:B5" si="0">RIGHT(A3,7)</f>
        <v>xtz.com</v>
      </c>
      <c r="C3" t="str">
        <f t="shared" ref="C3:C5" si="1">MID(A3,FIND(".",A3)+1,2)</f>
        <v>11</v>
      </c>
      <c r="D3" t="str">
        <f t="shared" ref="D3:D5" si="2">LEFT(A3,FIND(".",A3)-1)</f>
        <v>viratkohli</v>
      </c>
      <c r="M3" s="2"/>
      <c r="N3" s="2" t="s">
        <v>0</v>
      </c>
      <c r="O3" s="2"/>
      <c r="P3" s="2"/>
      <c r="Q3" s="2"/>
    </row>
    <row r="4" spans="1:17" x14ac:dyDescent="0.3">
      <c r="A4" s="1" t="s">
        <v>3</v>
      </c>
      <c r="B4" t="str">
        <f t="shared" si="0"/>
        <v>xyz.com</v>
      </c>
      <c r="C4" t="str">
        <f t="shared" si="1"/>
        <v>15</v>
      </c>
      <c r="D4" t="str">
        <f t="shared" si="2"/>
        <v>sunilshetty</v>
      </c>
      <c r="M4" s="2"/>
      <c r="N4" s="3" t="s">
        <v>1</v>
      </c>
      <c r="O4" s="2"/>
      <c r="P4" s="2">
        <v>12</v>
      </c>
      <c r="Q4" s="2"/>
    </row>
    <row r="5" spans="1:17" x14ac:dyDescent="0.3">
      <c r="A5" s="1" t="s">
        <v>4</v>
      </c>
      <c r="B5" t="str">
        <f t="shared" si="0"/>
        <v>ail.com</v>
      </c>
      <c r="C5" t="str">
        <f t="shared" si="1"/>
        <v>31</v>
      </c>
      <c r="D5" t="str">
        <f t="shared" si="2"/>
        <v>vijaysharma</v>
      </c>
      <c r="M5" s="2"/>
      <c r="N5" s="3" t="s">
        <v>33</v>
      </c>
      <c r="O5" s="2"/>
      <c r="P5" s="2">
        <v>111</v>
      </c>
      <c r="Q5" s="2"/>
    </row>
    <row r="6" spans="1:17" x14ac:dyDescent="0.3">
      <c r="M6" s="2"/>
      <c r="N6" s="3" t="s">
        <v>34</v>
      </c>
      <c r="O6" s="2"/>
      <c r="P6" s="2">
        <v>0</v>
      </c>
      <c r="Q6" s="2"/>
    </row>
    <row r="7" spans="1:17" x14ac:dyDescent="0.3">
      <c r="M7" s="2"/>
      <c r="N7" s="3" t="s">
        <v>35</v>
      </c>
      <c r="O7" s="2"/>
      <c r="P7" s="2">
        <v>3131</v>
      </c>
      <c r="Q7" s="2"/>
    </row>
    <row r="8" spans="1:17" x14ac:dyDescent="0.3">
      <c r="A8" t="s">
        <v>5</v>
      </c>
      <c r="C8" t="s">
        <v>23</v>
      </c>
      <c r="D8" t="s">
        <v>24</v>
      </c>
      <c r="E8" t="s">
        <v>25</v>
      </c>
      <c r="F8" t="s">
        <v>26</v>
      </c>
      <c r="G8" t="s">
        <v>27</v>
      </c>
      <c r="H8" t="s">
        <v>28</v>
      </c>
      <c r="I8" t="s">
        <v>29</v>
      </c>
      <c r="M8" s="2"/>
      <c r="N8" s="2"/>
      <c r="O8" s="2"/>
      <c r="P8" s="2"/>
      <c r="Q8" s="2"/>
    </row>
    <row r="9" spans="1:17" x14ac:dyDescent="0.3">
      <c r="A9" t="s">
        <v>6</v>
      </c>
      <c r="C9" t="str">
        <f>LEFT(A9,2)</f>
        <v>CA</v>
      </c>
      <c r="D9" t="str">
        <f>RIGHT(A9,3)</f>
        <v>156</v>
      </c>
      <c r="E9" t="str">
        <f>MID(A9,4,3)</f>
        <v>201</v>
      </c>
      <c r="F9">
        <f>LEN(A9)</f>
        <v>14</v>
      </c>
      <c r="G9">
        <f>FIND("-",A9)</f>
        <v>3</v>
      </c>
      <c r="H9">
        <f>FIND("-",A9,4)</f>
        <v>8</v>
      </c>
      <c r="I9" t="str">
        <f>MID(A9,FIND("-",A9)+1,4)</f>
        <v>2016</v>
      </c>
      <c r="M9" s="2"/>
      <c r="N9" s="2"/>
      <c r="O9" s="2"/>
      <c r="P9" s="2"/>
      <c r="Q9" s="2"/>
    </row>
    <row r="10" spans="1:17" x14ac:dyDescent="0.3">
      <c r="A10" t="s">
        <v>6</v>
      </c>
      <c r="C10" t="str">
        <f t="shared" ref="C10:C44" si="3">LEFT(A10,2)</f>
        <v>CA</v>
      </c>
      <c r="D10" t="str">
        <f t="shared" ref="D10:D44" si="4">RIGHT(A10,3)</f>
        <v>156</v>
      </c>
      <c r="E10" t="str">
        <f t="shared" ref="E10:E44" si="5">MID(A10,4,3)</f>
        <v>201</v>
      </c>
      <c r="F10">
        <f t="shared" ref="F10:F44" si="6">LEN(A10)</f>
        <v>14</v>
      </c>
      <c r="G10">
        <f t="shared" ref="G10:G44" si="7">FIND("-",A10)</f>
        <v>3</v>
      </c>
      <c r="H10">
        <f t="shared" ref="H10:H44" si="8">FIND("-",A10,4)</f>
        <v>8</v>
      </c>
      <c r="I10" t="str">
        <f t="shared" ref="I10:I44" si="9">MID(A10,FIND("-",A10)+1,4)</f>
        <v>2016</v>
      </c>
    </row>
    <row r="11" spans="1:17" x14ac:dyDescent="0.3">
      <c r="A11" t="s">
        <v>7</v>
      </c>
      <c r="C11" t="str">
        <f t="shared" si="3"/>
        <v>CA</v>
      </c>
      <c r="D11" t="str">
        <f t="shared" si="4"/>
        <v>688</v>
      </c>
      <c r="E11" t="str">
        <f t="shared" si="5"/>
        <v>201</v>
      </c>
      <c r="F11">
        <f t="shared" si="6"/>
        <v>14</v>
      </c>
      <c r="G11">
        <f t="shared" si="7"/>
        <v>3</v>
      </c>
      <c r="H11">
        <f t="shared" si="8"/>
        <v>8</v>
      </c>
      <c r="I11" t="str">
        <f t="shared" si="9"/>
        <v>2016</v>
      </c>
    </row>
    <row r="12" spans="1:17" x14ac:dyDescent="0.3">
      <c r="A12" t="s">
        <v>8</v>
      </c>
      <c r="C12" t="str">
        <f t="shared" si="3"/>
        <v>US</v>
      </c>
      <c r="D12" t="str">
        <f t="shared" si="4"/>
        <v>966</v>
      </c>
      <c r="E12" t="str">
        <f t="shared" si="5"/>
        <v>201</v>
      </c>
      <c r="F12">
        <f t="shared" si="6"/>
        <v>14</v>
      </c>
      <c r="G12">
        <f t="shared" si="7"/>
        <v>3</v>
      </c>
      <c r="H12">
        <f t="shared" si="8"/>
        <v>8</v>
      </c>
      <c r="I12" t="str">
        <f t="shared" si="9"/>
        <v>2015</v>
      </c>
    </row>
    <row r="13" spans="1:17" x14ac:dyDescent="0.3">
      <c r="A13" t="s">
        <v>8</v>
      </c>
      <c r="C13" t="str">
        <f t="shared" si="3"/>
        <v>US</v>
      </c>
      <c r="D13" t="str">
        <f t="shared" si="4"/>
        <v>966</v>
      </c>
      <c r="E13" t="str">
        <f t="shared" si="5"/>
        <v>201</v>
      </c>
      <c r="F13">
        <f t="shared" si="6"/>
        <v>14</v>
      </c>
      <c r="G13">
        <f t="shared" si="7"/>
        <v>3</v>
      </c>
      <c r="H13">
        <f t="shared" si="8"/>
        <v>8</v>
      </c>
      <c r="I13" t="str">
        <f t="shared" si="9"/>
        <v>2015</v>
      </c>
    </row>
    <row r="14" spans="1:17" x14ac:dyDescent="0.3">
      <c r="A14" t="s">
        <v>9</v>
      </c>
      <c r="C14" t="str">
        <f t="shared" si="3"/>
        <v>CA</v>
      </c>
      <c r="D14" t="str">
        <f t="shared" si="4"/>
        <v>812</v>
      </c>
      <c r="E14" t="str">
        <f t="shared" si="5"/>
        <v>201</v>
      </c>
      <c r="F14">
        <f t="shared" si="6"/>
        <v>14</v>
      </c>
      <c r="G14">
        <f t="shared" si="7"/>
        <v>3</v>
      </c>
      <c r="H14">
        <f t="shared" si="8"/>
        <v>8</v>
      </c>
      <c r="I14" t="str">
        <f t="shared" si="9"/>
        <v>2014</v>
      </c>
    </row>
    <row r="15" spans="1:17" x14ac:dyDescent="0.3">
      <c r="A15" t="s">
        <v>9</v>
      </c>
      <c r="C15" t="str">
        <f t="shared" si="3"/>
        <v>CA</v>
      </c>
      <c r="D15" t="str">
        <f t="shared" si="4"/>
        <v>812</v>
      </c>
      <c r="E15" t="str">
        <f t="shared" si="5"/>
        <v>201</v>
      </c>
      <c r="F15">
        <f t="shared" si="6"/>
        <v>14</v>
      </c>
      <c r="G15">
        <f t="shared" si="7"/>
        <v>3</v>
      </c>
      <c r="H15">
        <f t="shared" si="8"/>
        <v>8</v>
      </c>
      <c r="I15" t="str">
        <f t="shared" si="9"/>
        <v>2014</v>
      </c>
    </row>
    <row r="16" spans="1:17" x14ac:dyDescent="0.3">
      <c r="A16" t="s">
        <v>9</v>
      </c>
      <c r="C16" t="str">
        <f t="shared" si="3"/>
        <v>CA</v>
      </c>
      <c r="D16" t="str">
        <f t="shared" si="4"/>
        <v>812</v>
      </c>
      <c r="E16" t="str">
        <f t="shared" si="5"/>
        <v>201</v>
      </c>
      <c r="F16">
        <f t="shared" si="6"/>
        <v>14</v>
      </c>
      <c r="G16">
        <f t="shared" si="7"/>
        <v>3</v>
      </c>
      <c r="H16">
        <f t="shared" si="8"/>
        <v>8</v>
      </c>
      <c r="I16" t="str">
        <f t="shared" si="9"/>
        <v>2014</v>
      </c>
    </row>
    <row r="17" spans="1:9" x14ac:dyDescent="0.3">
      <c r="A17" t="s">
        <v>9</v>
      </c>
      <c r="C17" t="str">
        <f t="shared" si="3"/>
        <v>CA</v>
      </c>
      <c r="D17" t="str">
        <f t="shared" si="4"/>
        <v>812</v>
      </c>
      <c r="E17" t="str">
        <f t="shared" si="5"/>
        <v>201</v>
      </c>
      <c r="F17">
        <f t="shared" si="6"/>
        <v>14</v>
      </c>
      <c r="G17">
        <f t="shared" si="7"/>
        <v>3</v>
      </c>
      <c r="H17">
        <f t="shared" si="8"/>
        <v>8</v>
      </c>
      <c r="I17" t="str">
        <f t="shared" si="9"/>
        <v>2014</v>
      </c>
    </row>
    <row r="18" spans="1:9" x14ac:dyDescent="0.3">
      <c r="A18" t="s">
        <v>9</v>
      </c>
      <c r="C18" t="str">
        <f t="shared" si="3"/>
        <v>CA</v>
      </c>
      <c r="D18" t="str">
        <f t="shared" si="4"/>
        <v>812</v>
      </c>
      <c r="E18" t="str">
        <f t="shared" si="5"/>
        <v>201</v>
      </c>
      <c r="F18">
        <f t="shared" si="6"/>
        <v>14</v>
      </c>
      <c r="G18">
        <f t="shared" si="7"/>
        <v>3</v>
      </c>
      <c r="H18">
        <f t="shared" si="8"/>
        <v>8</v>
      </c>
      <c r="I18" t="str">
        <f t="shared" si="9"/>
        <v>2014</v>
      </c>
    </row>
    <row r="19" spans="1:9" x14ac:dyDescent="0.3">
      <c r="A19" t="s">
        <v>9</v>
      </c>
      <c r="C19" t="str">
        <f t="shared" si="3"/>
        <v>CA</v>
      </c>
      <c r="D19" t="str">
        <f t="shared" si="4"/>
        <v>812</v>
      </c>
      <c r="E19" t="str">
        <f t="shared" si="5"/>
        <v>201</v>
      </c>
      <c r="F19">
        <f t="shared" si="6"/>
        <v>14</v>
      </c>
      <c r="G19">
        <f t="shared" si="7"/>
        <v>3</v>
      </c>
      <c r="H19">
        <f t="shared" si="8"/>
        <v>8</v>
      </c>
      <c r="I19" t="str">
        <f t="shared" si="9"/>
        <v>2014</v>
      </c>
    </row>
    <row r="20" spans="1:9" x14ac:dyDescent="0.3">
      <c r="A20" t="s">
        <v>9</v>
      </c>
      <c r="C20" t="str">
        <f t="shared" si="3"/>
        <v>CA</v>
      </c>
      <c r="D20" t="str">
        <f t="shared" si="4"/>
        <v>812</v>
      </c>
      <c r="E20" t="str">
        <f t="shared" si="5"/>
        <v>201</v>
      </c>
      <c r="F20">
        <f t="shared" si="6"/>
        <v>14</v>
      </c>
      <c r="G20">
        <f t="shared" si="7"/>
        <v>3</v>
      </c>
      <c r="H20">
        <f t="shared" si="8"/>
        <v>8</v>
      </c>
      <c r="I20" t="str">
        <f t="shared" si="9"/>
        <v>2014</v>
      </c>
    </row>
    <row r="21" spans="1:9" x14ac:dyDescent="0.3">
      <c r="A21" t="s">
        <v>10</v>
      </c>
      <c r="C21" t="str">
        <f t="shared" si="3"/>
        <v>CA</v>
      </c>
      <c r="D21" t="str">
        <f t="shared" si="4"/>
        <v>412</v>
      </c>
      <c r="E21" t="str">
        <f t="shared" si="5"/>
        <v>201</v>
      </c>
      <c r="F21">
        <f t="shared" si="6"/>
        <v>14</v>
      </c>
      <c r="G21">
        <f t="shared" si="7"/>
        <v>3</v>
      </c>
      <c r="H21">
        <f t="shared" si="8"/>
        <v>8</v>
      </c>
      <c r="I21" t="str">
        <f t="shared" si="9"/>
        <v>2017</v>
      </c>
    </row>
    <row r="22" spans="1:9" x14ac:dyDescent="0.3">
      <c r="A22" t="s">
        <v>11</v>
      </c>
      <c r="C22" t="str">
        <f t="shared" si="3"/>
        <v>CA</v>
      </c>
      <c r="D22" t="str">
        <f t="shared" si="4"/>
        <v>389</v>
      </c>
      <c r="E22" t="str">
        <f t="shared" si="5"/>
        <v>201</v>
      </c>
      <c r="F22">
        <f t="shared" si="6"/>
        <v>14</v>
      </c>
      <c r="G22">
        <f t="shared" si="7"/>
        <v>3</v>
      </c>
      <c r="H22">
        <f t="shared" si="8"/>
        <v>8</v>
      </c>
      <c r="I22" t="str">
        <f t="shared" si="9"/>
        <v>2016</v>
      </c>
    </row>
    <row r="23" spans="1:9" x14ac:dyDescent="0.3">
      <c r="A23" t="s">
        <v>12</v>
      </c>
      <c r="C23" t="str">
        <f t="shared" si="3"/>
        <v>US</v>
      </c>
      <c r="D23" t="str">
        <f t="shared" si="4"/>
        <v>983</v>
      </c>
      <c r="E23" t="str">
        <f t="shared" si="5"/>
        <v>201</v>
      </c>
      <c r="F23">
        <f t="shared" si="6"/>
        <v>14</v>
      </c>
      <c r="G23">
        <f t="shared" si="7"/>
        <v>3</v>
      </c>
      <c r="H23">
        <f t="shared" si="8"/>
        <v>8</v>
      </c>
      <c r="I23" t="str">
        <f t="shared" si="9"/>
        <v>2015</v>
      </c>
    </row>
    <row r="24" spans="1:9" x14ac:dyDescent="0.3">
      <c r="A24" t="s">
        <v>12</v>
      </c>
      <c r="C24" t="str">
        <f t="shared" si="3"/>
        <v>US</v>
      </c>
      <c r="D24" t="str">
        <f t="shared" si="4"/>
        <v>983</v>
      </c>
      <c r="E24" t="str">
        <f t="shared" si="5"/>
        <v>201</v>
      </c>
      <c r="F24">
        <f t="shared" si="6"/>
        <v>14</v>
      </c>
      <c r="G24">
        <f t="shared" si="7"/>
        <v>3</v>
      </c>
      <c r="H24">
        <f t="shared" si="8"/>
        <v>8</v>
      </c>
      <c r="I24" t="str">
        <f t="shared" si="9"/>
        <v>2015</v>
      </c>
    </row>
    <row r="25" spans="1:9" x14ac:dyDescent="0.3">
      <c r="A25" t="s">
        <v>13</v>
      </c>
      <c r="C25" t="str">
        <f t="shared" si="3"/>
        <v>CA</v>
      </c>
      <c r="D25" t="str">
        <f t="shared" si="4"/>
        <v>893</v>
      </c>
      <c r="E25" t="str">
        <f t="shared" si="5"/>
        <v>201</v>
      </c>
      <c r="F25">
        <f t="shared" si="6"/>
        <v>14</v>
      </c>
      <c r="G25">
        <f t="shared" si="7"/>
        <v>3</v>
      </c>
      <c r="H25">
        <f t="shared" si="8"/>
        <v>8</v>
      </c>
      <c r="I25" t="str">
        <f t="shared" si="9"/>
        <v>2014</v>
      </c>
    </row>
    <row r="26" spans="1:9" x14ac:dyDescent="0.3">
      <c r="A26" t="s">
        <v>14</v>
      </c>
      <c r="C26" t="str">
        <f t="shared" si="3"/>
        <v>CA</v>
      </c>
      <c r="D26" t="str">
        <f t="shared" si="4"/>
        <v>164</v>
      </c>
      <c r="E26" t="str">
        <f t="shared" si="5"/>
        <v>201</v>
      </c>
      <c r="F26">
        <f t="shared" si="6"/>
        <v>14</v>
      </c>
      <c r="G26">
        <f t="shared" si="7"/>
        <v>3</v>
      </c>
      <c r="H26">
        <f t="shared" si="8"/>
        <v>8</v>
      </c>
      <c r="I26" t="str">
        <f t="shared" si="9"/>
        <v>2014</v>
      </c>
    </row>
    <row r="27" spans="1:9" x14ac:dyDescent="0.3">
      <c r="A27" t="s">
        <v>15</v>
      </c>
      <c r="C27" t="str">
        <f t="shared" si="3"/>
        <v>CA</v>
      </c>
      <c r="D27" t="str">
        <f t="shared" si="4"/>
        <v>336</v>
      </c>
      <c r="E27" t="str">
        <f t="shared" si="5"/>
        <v>201</v>
      </c>
      <c r="F27">
        <f t="shared" si="6"/>
        <v>14</v>
      </c>
      <c r="G27">
        <f t="shared" si="7"/>
        <v>3</v>
      </c>
      <c r="H27">
        <f t="shared" si="8"/>
        <v>8</v>
      </c>
      <c r="I27" t="str">
        <f t="shared" si="9"/>
        <v>2014</v>
      </c>
    </row>
    <row r="28" spans="1:9" x14ac:dyDescent="0.3">
      <c r="A28" t="s">
        <v>15</v>
      </c>
      <c r="C28" t="str">
        <f t="shared" si="3"/>
        <v>CA</v>
      </c>
      <c r="D28" t="str">
        <f t="shared" si="4"/>
        <v>336</v>
      </c>
      <c r="E28" t="str">
        <f t="shared" si="5"/>
        <v>201</v>
      </c>
      <c r="F28">
        <f t="shared" si="6"/>
        <v>14</v>
      </c>
      <c r="G28">
        <f t="shared" si="7"/>
        <v>3</v>
      </c>
      <c r="H28">
        <f t="shared" si="8"/>
        <v>8</v>
      </c>
      <c r="I28" t="str">
        <f t="shared" si="9"/>
        <v>2014</v>
      </c>
    </row>
    <row r="29" spans="1:9" x14ac:dyDescent="0.3">
      <c r="A29" t="s">
        <v>15</v>
      </c>
      <c r="C29" t="str">
        <f t="shared" si="3"/>
        <v>CA</v>
      </c>
      <c r="D29" t="str">
        <f t="shared" si="4"/>
        <v>336</v>
      </c>
      <c r="E29" t="str">
        <f t="shared" si="5"/>
        <v>201</v>
      </c>
      <c r="F29">
        <f t="shared" si="6"/>
        <v>14</v>
      </c>
      <c r="G29">
        <f t="shared" si="7"/>
        <v>3</v>
      </c>
      <c r="H29">
        <f t="shared" si="8"/>
        <v>8</v>
      </c>
      <c r="I29" t="str">
        <f t="shared" si="9"/>
        <v>2014</v>
      </c>
    </row>
    <row r="30" spans="1:9" x14ac:dyDescent="0.3">
      <c r="A30" t="s">
        <v>16</v>
      </c>
      <c r="C30" t="str">
        <f t="shared" si="3"/>
        <v>CA</v>
      </c>
      <c r="D30" t="str">
        <f t="shared" si="4"/>
        <v>330</v>
      </c>
      <c r="E30" t="str">
        <f t="shared" si="5"/>
        <v>201</v>
      </c>
      <c r="F30">
        <f t="shared" si="6"/>
        <v>14</v>
      </c>
      <c r="G30">
        <f t="shared" si="7"/>
        <v>3</v>
      </c>
      <c r="H30">
        <f t="shared" si="8"/>
        <v>8</v>
      </c>
      <c r="I30" t="str">
        <f t="shared" si="9"/>
        <v>2016</v>
      </c>
    </row>
    <row r="31" spans="1:9" x14ac:dyDescent="0.3">
      <c r="A31" t="s">
        <v>16</v>
      </c>
      <c r="C31" t="str">
        <f t="shared" si="3"/>
        <v>CA</v>
      </c>
      <c r="D31" t="str">
        <f t="shared" si="4"/>
        <v>330</v>
      </c>
      <c r="E31" t="str">
        <f t="shared" si="5"/>
        <v>201</v>
      </c>
      <c r="F31">
        <f t="shared" si="6"/>
        <v>14</v>
      </c>
      <c r="G31">
        <f t="shared" si="7"/>
        <v>3</v>
      </c>
      <c r="H31">
        <f t="shared" si="8"/>
        <v>8</v>
      </c>
      <c r="I31" t="str">
        <f t="shared" si="9"/>
        <v>2016</v>
      </c>
    </row>
    <row r="32" spans="1:9" x14ac:dyDescent="0.3">
      <c r="A32" t="s">
        <v>17</v>
      </c>
      <c r="C32" t="str">
        <f t="shared" si="3"/>
        <v>US</v>
      </c>
      <c r="D32" t="str">
        <f t="shared" si="4"/>
        <v>909</v>
      </c>
      <c r="E32" t="str">
        <f t="shared" si="5"/>
        <v>201</v>
      </c>
      <c r="F32">
        <f t="shared" si="6"/>
        <v>14</v>
      </c>
      <c r="G32">
        <f t="shared" si="7"/>
        <v>3</v>
      </c>
      <c r="H32">
        <f t="shared" si="8"/>
        <v>8</v>
      </c>
      <c r="I32" t="str">
        <f t="shared" si="9"/>
        <v>2017</v>
      </c>
    </row>
    <row r="33" spans="1:9" x14ac:dyDescent="0.3">
      <c r="A33" t="s">
        <v>18</v>
      </c>
      <c r="C33" t="str">
        <f t="shared" si="3"/>
        <v>CA</v>
      </c>
      <c r="D33" t="str">
        <f t="shared" si="4"/>
        <v>320</v>
      </c>
      <c r="E33" t="str">
        <f t="shared" si="5"/>
        <v>201</v>
      </c>
      <c r="F33">
        <f t="shared" si="6"/>
        <v>14</v>
      </c>
      <c r="G33">
        <f t="shared" si="7"/>
        <v>3</v>
      </c>
      <c r="H33">
        <f t="shared" si="8"/>
        <v>8</v>
      </c>
      <c r="I33" t="str">
        <f t="shared" si="9"/>
        <v>2015</v>
      </c>
    </row>
    <row r="34" spans="1:9" x14ac:dyDescent="0.3">
      <c r="A34" t="s">
        <v>19</v>
      </c>
      <c r="C34" t="str">
        <f t="shared" si="3"/>
        <v>CA</v>
      </c>
      <c r="D34" t="str">
        <f t="shared" si="4"/>
        <v>755</v>
      </c>
      <c r="E34" t="str">
        <f t="shared" si="5"/>
        <v>201</v>
      </c>
      <c r="F34">
        <f t="shared" si="6"/>
        <v>14</v>
      </c>
      <c r="G34">
        <f t="shared" si="7"/>
        <v>3</v>
      </c>
      <c r="H34">
        <f t="shared" si="8"/>
        <v>8</v>
      </c>
      <c r="I34" t="str">
        <f t="shared" si="9"/>
        <v>2016</v>
      </c>
    </row>
    <row r="35" spans="1:9" x14ac:dyDescent="0.3">
      <c r="A35" t="s">
        <v>19</v>
      </c>
      <c r="C35" t="str">
        <f t="shared" si="3"/>
        <v>CA</v>
      </c>
      <c r="D35" t="str">
        <f t="shared" si="4"/>
        <v>755</v>
      </c>
      <c r="E35" t="str">
        <f t="shared" si="5"/>
        <v>201</v>
      </c>
      <c r="F35">
        <f t="shared" si="6"/>
        <v>14</v>
      </c>
      <c r="G35">
        <f t="shared" si="7"/>
        <v>3</v>
      </c>
      <c r="H35">
        <f t="shared" si="8"/>
        <v>8</v>
      </c>
      <c r="I35" t="str">
        <f t="shared" si="9"/>
        <v>2016</v>
      </c>
    </row>
    <row r="36" spans="1:9" x14ac:dyDescent="0.3">
      <c r="A36" t="s">
        <v>20</v>
      </c>
      <c r="C36" t="str">
        <f t="shared" si="3"/>
        <v>US</v>
      </c>
      <c r="D36" t="str">
        <f t="shared" si="4"/>
        <v>630</v>
      </c>
      <c r="E36" t="str">
        <f t="shared" si="5"/>
        <v>201</v>
      </c>
      <c r="F36">
        <f t="shared" si="6"/>
        <v>14</v>
      </c>
      <c r="G36">
        <f t="shared" si="7"/>
        <v>3</v>
      </c>
      <c r="H36">
        <f t="shared" si="8"/>
        <v>8</v>
      </c>
      <c r="I36" t="str">
        <f t="shared" si="9"/>
        <v>2015</v>
      </c>
    </row>
    <row r="37" spans="1:9" x14ac:dyDescent="0.3">
      <c r="A37" t="s">
        <v>20</v>
      </c>
      <c r="C37" t="str">
        <f t="shared" si="3"/>
        <v>US</v>
      </c>
      <c r="D37" t="str">
        <f t="shared" si="4"/>
        <v>630</v>
      </c>
      <c r="E37" t="str">
        <f t="shared" si="5"/>
        <v>201</v>
      </c>
      <c r="F37">
        <f t="shared" si="6"/>
        <v>14</v>
      </c>
      <c r="G37">
        <f t="shared" si="7"/>
        <v>3</v>
      </c>
      <c r="H37">
        <f t="shared" si="8"/>
        <v>8</v>
      </c>
      <c r="I37" t="str">
        <f t="shared" si="9"/>
        <v>2015</v>
      </c>
    </row>
    <row r="38" spans="1:9" x14ac:dyDescent="0.3">
      <c r="A38" t="s">
        <v>20</v>
      </c>
      <c r="C38" t="str">
        <f t="shared" si="3"/>
        <v>US</v>
      </c>
      <c r="D38" t="str">
        <f t="shared" si="4"/>
        <v>630</v>
      </c>
      <c r="E38" t="str">
        <f t="shared" si="5"/>
        <v>201</v>
      </c>
      <c r="F38">
        <f t="shared" si="6"/>
        <v>14</v>
      </c>
      <c r="G38">
        <f t="shared" si="7"/>
        <v>3</v>
      </c>
      <c r="H38">
        <f t="shared" si="8"/>
        <v>8</v>
      </c>
      <c r="I38" t="str">
        <f t="shared" si="9"/>
        <v>2015</v>
      </c>
    </row>
    <row r="39" spans="1:9" x14ac:dyDescent="0.3">
      <c r="A39" t="s">
        <v>20</v>
      </c>
      <c r="C39" t="str">
        <f t="shared" si="3"/>
        <v>US</v>
      </c>
      <c r="D39" t="str">
        <f t="shared" si="4"/>
        <v>630</v>
      </c>
      <c r="E39" t="str">
        <f t="shared" si="5"/>
        <v>201</v>
      </c>
      <c r="F39">
        <f t="shared" si="6"/>
        <v>14</v>
      </c>
      <c r="G39">
        <f t="shared" si="7"/>
        <v>3</v>
      </c>
      <c r="H39">
        <f t="shared" si="8"/>
        <v>8</v>
      </c>
      <c r="I39" t="str">
        <f t="shared" si="9"/>
        <v>2015</v>
      </c>
    </row>
    <row r="40" spans="1:9" x14ac:dyDescent="0.3">
      <c r="A40" t="s">
        <v>20</v>
      </c>
      <c r="C40" t="str">
        <f t="shared" si="3"/>
        <v>US</v>
      </c>
      <c r="D40" t="str">
        <f t="shared" si="4"/>
        <v>630</v>
      </c>
      <c r="E40" t="str">
        <f t="shared" si="5"/>
        <v>201</v>
      </c>
      <c r="F40">
        <f t="shared" si="6"/>
        <v>14</v>
      </c>
      <c r="G40">
        <f t="shared" si="7"/>
        <v>3</v>
      </c>
      <c r="H40">
        <f t="shared" si="8"/>
        <v>8</v>
      </c>
      <c r="I40" t="str">
        <f t="shared" si="9"/>
        <v>2015</v>
      </c>
    </row>
    <row r="41" spans="1:9" x14ac:dyDescent="0.3">
      <c r="A41" t="s">
        <v>20</v>
      </c>
      <c r="C41" t="str">
        <f t="shared" si="3"/>
        <v>US</v>
      </c>
      <c r="D41" t="str">
        <f t="shared" si="4"/>
        <v>630</v>
      </c>
      <c r="E41" t="str">
        <f t="shared" si="5"/>
        <v>201</v>
      </c>
      <c r="F41">
        <f t="shared" si="6"/>
        <v>14</v>
      </c>
      <c r="G41">
        <f t="shared" si="7"/>
        <v>3</v>
      </c>
      <c r="H41">
        <f t="shared" si="8"/>
        <v>8</v>
      </c>
      <c r="I41" t="str">
        <f t="shared" si="9"/>
        <v>2015</v>
      </c>
    </row>
    <row r="42" spans="1:9" x14ac:dyDescent="0.3">
      <c r="A42" t="s">
        <v>20</v>
      </c>
      <c r="C42" t="str">
        <f t="shared" si="3"/>
        <v>US</v>
      </c>
      <c r="D42" t="str">
        <f t="shared" si="4"/>
        <v>630</v>
      </c>
      <c r="E42" t="str">
        <f t="shared" si="5"/>
        <v>201</v>
      </c>
      <c r="F42">
        <f t="shared" si="6"/>
        <v>14</v>
      </c>
      <c r="G42">
        <f t="shared" si="7"/>
        <v>3</v>
      </c>
      <c r="H42">
        <f t="shared" si="8"/>
        <v>8</v>
      </c>
      <c r="I42" t="str">
        <f t="shared" si="9"/>
        <v>2015</v>
      </c>
    </row>
    <row r="43" spans="1:9" x14ac:dyDescent="0.3">
      <c r="A43" t="s">
        <v>21</v>
      </c>
      <c r="C43" t="str">
        <f t="shared" si="3"/>
        <v>CA</v>
      </c>
      <c r="D43" t="str">
        <f t="shared" si="4"/>
        <v>727</v>
      </c>
      <c r="E43" t="str">
        <f t="shared" si="5"/>
        <v>201</v>
      </c>
      <c r="F43">
        <f t="shared" si="6"/>
        <v>14</v>
      </c>
      <c r="G43">
        <f t="shared" si="7"/>
        <v>3</v>
      </c>
      <c r="H43">
        <f t="shared" si="8"/>
        <v>8</v>
      </c>
      <c r="I43" t="str">
        <f t="shared" si="9"/>
        <v>2017</v>
      </c>
    </row>
    <row r="44" spans="1:9" x14ac:dyDescent="0.3">
      <c r="A44" t="s">
        <v>22</v>
      </c>
      <c r="C44" t="str">
        <f t="shared" si="3"/>
        <v>CA</v>
      </c>
      <c r="D44" t="str">
        <f t="shared" si="4"/>
        <v>590</v>
      </c>
      <c r="E44" t="str">
        <f t="shared" si="5"/>
        <v>201</v>
      </c>
      <c r="F44">
        <f t="shared" si="6"/>
        <v>14</v>
      </c>
      <c r="G44">
        <f t="shared" si="7"/>
        <v>3</v>
      </c>
      <c r="H44">
        <f t="shared" si="8"/>
        <v>8</v>
      </c>
      <c r="I44" t="str">
        <f t="shared" si="9"/>
        <v>2016</v>
      </c>
    </row>
  </sheetData>
  <hyperlinks>
    <hyperlink ref="A2" r:id="rId1" xr:uid="{F212BAAB-6577-45ED-8A4B-882A5B7E38C6}"/>
    <hyperlink ref="A3" r:id="rId2" xr:uid="{20759A52-E8B6-4200-A787-B8C58FEEC640}"/>
    <hyperlink ref="A4" r:id="rId3" xr:uid="{AD380781-8310-465B-B18A-A04BF5FE4C32}"/>
    <hyperlink ref="A5" r:id="rId4" xr:uid="{A4D902C6-172A-4F05-A877-12C505F2FC7F}"/>
    <hyperlink ref="N4" r:id="rId5" xr:uid="{7336E04A-259C-4557-B26C-39681A45B70E}"/>
    <hyperlink ref="N5" r:id="rId6" xr:uid="{9F8C8226-65A3-4F62-AE80-D791E3D7CCCE}"/>
    <hyperlink ref="N6" r:id="rId7" xr:uid="{AF1A9C3F-3D25-41B1-8D08-D39A15C483A5}"/>
    <hyperlink ref="N7" r:id="rId8" xr:uid="{03F04BE8-01D1-43B1-8AF2-A99737D45AE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5D733-9EC3-4B4A-B433-7EA3C98C7255}">
  <dimension ref="C1:AB6"/>
  <sheetViews>
    <sheetView tabSelected="1" topLeftCell="R1" zoomScale="128" workbookViewId="0">
      <selection activeCell="V8" sqref="V8"/>
    </sheetView>
  </sheetViews>
  <sheetFormatPr defaultRowHeight="14.4" x14ac:dyDescent="0.3"/>
  <cols>
    <col min="3" max="3" width="10.6640625" bestFit="1" customWidth="1"/>
    <col min="7" max="7" width="10.6640625" bestFit="1" customWidth="1"/>
    <col min="10" max="10" width="10.6640625" bestFit="1" customWidth="1"/>
    <col min="11" max="11" width="16" bestFit="1" customWidth="1"/>
    <col min="13" max="13" width="10.6640625" bestFit="1" customWidth="1"/>
    <col min="16" max="16" width="10.21875" customWidth="1"/>
    <col min="17" max="17" width="16.5546875" customWidth="1"/>
    <col min="20" max="20" width="11.21875" customWidth="1"/>
    <col min="21" max="21" width="20.21875" customWidth="1"/>
    <col min="24" max="24" width="11.44140625" customWidth="1"/>
    <col min="25" max="25" width="11.5546875" customWidth="1"/>
    <col min="26" max="26" width="9.6640625" customWidth="1"/>
    <col min="27" max="27" width="13.44140625" customWidth="1"/>
  </cols>
  <sheetData>
    <row r="1" spans="3:28" x14ac:dyDescent="0.3">
      <c r="C1" s="4" t="s">
        <v>36</v>
      </c>
      <c r="D1" s="4" t="s">
        <v>37</v>
      </c>
      <c r="E1" s="4" t="s">
        <v>38</v>
      </c>
      <c r="F1" s="4" t="s">
        <v>39</v>
      </c>
      <c r="G1" s="4" t="s">
        <v>36</v>
      </c>
      <c r="J1" s="4" t="s">
        <v>40</v>
      </c>
      <c r="K1" s="4" t="s">
        <v>41</v>
      </c>
      <c r="M1" s="4" t="s">
        <v>36</v>
      </c>
      <c r="N1" s="4" t="s">
        <v>42</v>
      </c>
      <c r="O1" s="4" t="s">
        <v>44</v>
      </c>
      <c r="P1" s="4" t="s">
        <v>43</v>
      </c>
      <c r="Q1" s="4" t="s">
        <v>45</v>
      </c>
      <c r="T1" s="4" t="s">
        <v>36</v>
      </c>
      <c r="U1" s="7" t="s">
        <v>46</v>
      </c>
      <c r="X1" s="4" t="s">
        <v>36</v>
      </c>
      <c r="Y1" s="8" t="s">
        <v>47</v>
      </c>
      <c r="Z1" s="8" t="s">
        <v>48</v>
      </c>
      <c r="AA1" s="8" t="s">
        <v>49</v>
      </c>
      <c r="AB1" s="8" t="s">
        <v>50</v>
      </c>
    </row>
    <row r="2" spans="3:28" x14ac:dyDescent="0.3">
      <c r="C2" s="5">
        <v>41255</v>
      </c>
      <c r="D2" s="4">
        <f>DAY(C2)</f>
        <v>12</v>
      </c>
      <c r="E2" s="4">
        <f>MONTH(C2)</f>
        <v>12</v>
      </c>
      <c r="F2" s="4">
        <f>YEAR(C2)</f>
        <v>2012</v>
      </c>
      <c r="G2" s="5">
        <f>DATE(F2,E2,D2)</f>
        <v>41255</v>
      </c>
      <c r="J2" s="5">
        <f ca="1">TODAY()</f>
        <v>46167</v>
      </c>
      <c r="K2" s="6">
        <f ca="1">NOW()</f>
        <v>46167.521426736108</v>
      </c>
      <c r="M2" s="5">
        <v>41255</v>
      </c>
      <c r="N2" s="4" t="str">
        <f>TEXT(M2,"d")</f>
        <v>12</v>
      </c>
      <c r="O2" s="4" t="str">
        <f>TEXT(M2,"ddd")</f>
        <v>Wed</v>
      </c>
      <c r="P2" s="4" t="str">
        <f>TEXT(M2,"mmm")</f>
        <v>Dec</v>
      </c>
      <c r="Q2" s="4" t="str">
        <f>TEXT(M2,"mmm-yyyy")</f>
        <v>Dec-2012</v>
      </c>
      <c r="T2" s="5">
        <v>41255</v>
      </c>
      <c r="X2" s="5">
        <v>41255</v>
      </c>
      <c r="Y2" s="5">
        <f ca="1">TODAY()</f>
        <v>46167</v>
      </c>
      <c r="Z2" s="4">
        <f ca="1">DATEDIF(X2,Y2,"Y")</f>
        <v>13</v>
      </c>
      <c r="AA2" s="4">
        <f ca="1">DATEDIF(X2,Y2,"YM")</f>
        <v>5</v>
      </c>
      <c r="AB2" s="4">
        <f ca="1">DATEDIF(X2,Y2,"MD")</f>
        <v>13</v>
      </c>
    </row>
    <row r="3" spans="3:28" x14ac:dyDescent="0.3">
      <c r="C3" s="5">
        <v>46023</v>
      </c>
      <c r="D3" s="4">
        <f t="shared" ref="D3:D6" si="0">DAY(C3)</f>
        <v>1</v>
      </c>
      <c r="E3" s="4">
        <f t="shared" ref="E3:E6" si="1">MONTH(C3)</f>
        <v>1</v>
      </c>
      <c r="F3" s="4">
        <f t="shared" ref="F3:F6" si="2">YEAR(C3)</f>
        <v>2026</v>
      </c>
      <c r="G3" s="5">
        <f t="shared" ref="G3:G6" si="3">DATE(F3,E3,D3)</f>
        <v>46023</v>
      </c>
      <c r="M3" s="5">
        <v>46023</v>
      </c>
      <c r="N3" s="4" t="str">
        <f t="shared" ref="N3:N6" si="4">TEXT(M3,"d")</f>
        <v>1</v>
      </c>
      <c r="O3" s="4" t="str">
        <f t="shared" ref="O3:O6" si="5">TEXT(M3,"ddd")</f>
        <v>Thu</v>
      </c>
      <c r="P3" s="4" t="str">
        <f t="shared" ref="P3:P6" si="6">TEXT(M3,"mmm")</f>
        <v>Jan</v>
      </c>
      <c r="Q3" s="4" t="str">
        <f t="shared" ref="Q3:Q6" si="7">TEXT(M3,"mmm-yyyy")</f>
        <v>Jan-2026</v>
      </c>
      <c r="T3" s="5">
        <v>46023</v>
      </c>
      <c r="X3" s="5">
        <v>46023</v>
      </c>
      <c r="Y3" s="5">
        <f t="shared" ref="Y3:Y6" ca="1" si="8">TODAY()</f>
        <v>46167</v>
      </c>
      <c r="Z3" s="4">
        <f t="shared" ref="Z3:Z6" ca="1" si="9">DATEDIF(X3,Y3,"Y")</f>
        <v>0</v>
      </c>
      <c r="AA3" s="4">
        <f t="shared" ref="AA3:AA6" ca="1" si="10">DATEDIF(X3,Y3,"YM")</f>
        <v>4</v>
      </c>
      <c r="AB3" s="4">
        <f t="shared" ref="AB3:AB6" ca="1" si="11">DATEDIF(X3,Y3,"MD")</f>
        <v>24</v>
      </c>
    </row>
    <row r="4" spans="3:28" x14ac:dyDescent="0.3">
      <c r="C4" s="5">
        <v>36671</v>
      </c>
      <c r="D4" s="4">
        <f t="shared" si="0"/>
        <v>25</v>
      </c>
      <c r="E4" s="4">
        <f t="shared" si="1"/>
        <v>5</v>
      </c>
      <c r="F4" s="4">
        <f t="shared" si="2"/>
        <v>2000</v>
      </c>
      <c r="G4" s="5">
        <f t="shared" si="3"/>
        <v>36671</v>
      </c>
      <c r="M4" s="5">
        <v>46167</v>
      </c>
      <c r="N4" s="4" t="str">
        <f t="shared" si="4"/>
        <v>25</v>
      </c>
      <c r="O4" s="4" t="str">
        <f t="shared" si="5"/>
        <v>Mon</v>
      </c>
      <c r="P4" s="4" t="str">
        <f>TEXT(M4,"mmm")</f>
        <v>May</v>
      </c>
      <c r="Q4" s="4" t="str">
        <f t="shared" si="7"/>
        <v>May-2026</v>
      </c>
      <c r="T4" s="5">
        <v>46167</v>
      </c>
      <c r="X4" s="5">
        <v>46167</v>
      </c>
      <c r="Y4" s="5">
        <f t="shared" ca="1" si="8"/>
        <v>46167</v>
      </c>
      <c r="Z4" s="4">
        <f t="shared" ca="1" si="9"/>
        <v>0</v>
      </c>
      <c r="AA4" s="4">
        <f t="shared" ca="1" si="10"/>
        <v>0</v>
      </c>
      <c r="AB4" s="4">
        <f t="shared" ca="1" si="11"/>
        <v>0</v>
      </c>
    </row>
    <row r="5" spans="3:28" x14ac:dyDescent="0.3">
      <c r="C5" s="5">
        <v>36320</v>
      </c>
      <c r="D5" s="4">
        <f t="shared" si="0"/>
        <v>9</v>
      </c>
      <c r="E5" s="4">
        <f t="shared" si="1"/>
        <v>6</v>
      </c>
      <c r="F5" s="4">
        <f t="shared" si="2"/>
        <v>1999</v>
      </c>
      <c r="G5" s="5">
        <f t="shared" si="3"/>
        <v>36320</v>
      </c>
      <c r="M5" s="5">
        <v>46182</v>
      </c>
      <c r="N5" s="4" t="str">
        <f t="shared" si="4"/>
        <v>9</v>
      </c>
      <c r="O5" s="4" t="str">
        <f t="shared" si="5"/>
        <v>Tue</v>
      </c>
      <c r="P5" s="4" t="str">
        <f t="shared" si="6"/>
        <v>Jun</v>
      </c>
      <c r="Q5" s="4" t="str">
        <f t="shared" si="7"/>
        <v>Jun-2026</v>
      </c>
      <c r="T5" s="5">
        <v>46182</v>
      </c>
      <c r="X5" s="5">
        <v>46182</v>
      </c>
      <c r="Y5" s="5">
        <f t="shared" ca="1" si="8"/>
        <v>46167</v>
      </c>
      <c r="Z5" s="4" t="e">
        <f ca="1">DATEDIF(X5,Y5,"Y")</f>
        <v>#NUM!</v>
      </c>
      <c r="AA5" s="4" t="e">
        <f ca="1">DATEDIF(X5,Y5,"YM")</f>
        <v>#NUM!</v>
      </c>
      <c r="AB5" s="4" t="e">
        <f ca="1">DATEDIF(X5,Y5,"MD")</f>
        <v>#NUM!</v>
      </c>
    </row>
    <row r="6" spans="3:28" x14ac:dyDescent="0.3">
      <c r="C6" s="5">
        <v>42015</v>
      </c>
      <c r="D6" s="4">
        <f t="shared" si="0"/>
        <v>11</v>
      </c>
      <c r="E6" s="4">
        <f t="shared" si="1"/>
        <v>1</v>
      </c>
      <c r="F6" s="4">
        <f t="shared" si="2"/>
        <v>2015</v>
      </c>
      <c r="G6" s="5">
        <f t="shared" si="3"/>
        <v>42015</v>
      </c>
      <c r="M6" s="5">
        <v>46033</v>
      </c>
      <c r="N6" s="4" t="str">
        <f t="shared" si="4"/>
        <v>11</v>
      </c>
      <c r="O6" s="4" t="str">
        <f t="shared" si="5"/>
        <v>Sun</v>
      </c>
      <c r="P6" s="4" t="str">
        <f t="shared" si="6"/>
        <v>Jan</v>
      </c>
      <c r="Q6" s="4" t="str">
        <f t="shared" si="7"/>
        <v>Jan-2026</v>
      </c>
      <c r="T6" s="5">
        <v>46033</v>
      </c>
      <c r="X6" s="5">
        <v>46033</v>
      </c>
      <c r="Y6" s="5">
        <f t="shared" ca="1" si="8"/>
        <v>46167</v>
      </c>
      <c r="Z6" s="4">
        <f t="shared" ca="1" si="9"/>
        <v>0</v>
      </c>
      <c r="AA6" s="4">
        <f t="shared" ca="1" si="10"/>
        <v>4</v>
      </c>
      <c r="AB6" s="4">
        <f t="shared" ca="1" si="11"/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DATE FORMULAS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keyu devani</dc:creator>
  <cp:lastModifiedBy>keyu devani</cp:lastModifiedBy>
  <dcterms:created xsi:type="dcterms:W3CDTF">2026-05-25T05:41:05Z</dcterms:created>
  <dcterms:modified xsi:type="dcterms:W3CDTF">2026-05-25T07:01:46Z</dcterms:modified>
</cp:coreProperties>
</file>