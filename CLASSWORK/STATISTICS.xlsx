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Tops\"/>
    </mc:Choice>
  </mc:AlternateContent>
  <xr:revisionPtr revIDLastSave="0" documentId="13_ncr:1_{F9D6DE1B-9D49-4FFB-B54C-F006C89E8B6F}" xr6:coauthVersionLast="47" xr6:coauthVersionMax="47" xr10:uidLastSave="{00000000-0000-0000-0000-000000000000}"/>
  <bookViews>
    <workbookView xWindow="-108" yWindow="-108" windowWidth="23256" windowHeight="12456" firstSheet="1" activeTab="5" xr2:uid="{EAAEAF96-EE2B-4401-8C74-4AF877A2D578}"/>
  </bookViews>
  <sheets>
    <sheet name="CONTINUS NORMAL DISTRIBUTION" sheetId="1" r:id="rId1"/>
    <sheet name="COVARIANCE" sheetId="2" r:id="rId2"/>
    <sheet name="CORRELATION " sheetId="3" r:id="rId3"/>
    <sheet name="MEAN ,MEDIAN,MAD ,QUARTILE ,IQR" sheetId="4" r:id="rId4"/>
    <sheet name="Sheet1" sheetId="5" r:id="rId5"/>
    <sheet name="confidence level 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6" l="1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6" i="6"/>
  <c r="A3" i="5"/>
  <c r="A4" i="5"/>
  <c r="A5" i="5"/>
  <c r="A6" i="5"/>
  <c r="A7" i="5"/>
  <c r="A8" i="5"/>
  <c r="A9" i="5"/>
  <c r="A10" i="5"/>
  <c r="A11" i="5"/>
  <c r="A2" i="5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2" i="4"/>
  <c r="D3" i="3"/>
  <c r="E7" i="6" l="1"/>
  <c r="E6" i="6"/>
  <c r="G4" i="4"/>
  <c r="G3" i="4"/>
  <c r="G2" i="4"/>
  <c r="G1" i="4"/>
  <c r="D4" i="4"/>
  <c r="D5" i="4"/>
  <c r="D2" i="4"/>
  <c r="D3" i="4"/>
  <c r="H6" i="6" l="1"/>
  <c r="H5" i="6"/>
  <c r="H11" i="6" s="1"/>
  <c r="G5" i="4"/>
  <c r="B3" i="2"/>
  <c r="B4" i="2"/>
  <c r="B5" i="2"/>
  <c r="B6" i="2"/>
  <c r="B7" i="2"/>
  <c r="B8" i="2"/>
  <c r="B9" i="2"/>
  <c r="B10" i="2"/>
  <c r="B11" i="2"/>
  <c r="B12" i="2"/>
  <c r="B13" i="2"/>
  <c r="B14" i="2"/>
  <c r="B2" i="2"/>
  <c r="A3" i="2"/>
  <c r="A4" i="2"/>
  <c r="A5" i="2"/>
  <c r="A6" i="2"/>
  <c r="A7" i="2"/>
  <c r="A8" i="2"/>
  <c r="A9" i="2"/>
  <c r="A10" i="2"/>
  <c r="A11" i="2"/>
  <c r="A12" i="2"/>
  <c r="A13" i="2"/>
  <c r="A14" i="2"/>
  <c r="A2" i="2"/>
  <c r="L7" i="1"/>
  <c r="L6" i="1"/>
  <c r="L5" i="1"/>
  <c r="L4" i="1"/>
  <c r="E10" i="1"/>
  <c r="E9" i="1"/>
  <c r="E8" i="1"/>
  <c r="E7" i="1"/>
  <c r="E6" i="1"/>
  <c r="E5" i="1"/>
  <c r="E4" i="1"/>
  <c r="H12" i="6" l="1"/>
  <c r="D2" i="2"/>
</calcChain>
</file>

<file path=xl/sharedStrings.xml><?xml version="1.0" encoding="utf-8"?>
<sst xmlns="http://schemas.openxmlformats.org/spreadsheetml/2006/main" count="88" uniqueCount="69">
  <si>
    <t>X = 115</t>
  </si>
  <si>
    <t>X = 78</t>
  </si>
  <si>
    <t>X &lt; 80</t>
  </si>
  <si>
    <t>X&gt;80</t>
  </si>
  <si>
    <t>X&gt;125</t>
  </si>
  <si>
    <t>85&lt;X,100</t>
  </si>
  <si>
    <t>95&lt;X&lt;125</t>
  </si>
  <si>
    <t>CONTINIUS NORMAL DISTRIBUTIONDISTRIBUTION  BY NORM DIFT</t>
  </si>
  <si>
    <t xml:space="preserve">MEAN </t>
  </si>
  <si>
    <t xml:space="preserve">S.D </t>
  </si>
  <si>
    <t>MEAN</t>
  </si>
  <si>
    <t>S.D</t>
  </si>
  <si>
    <t>X&lt;85</t>
  </si>
  <si>
    <t>70&lt;X&lt;90</t>
  </si>
  <si>
    <t>X&lt;95</t>
  </si>
  <si>
    <t>50&lt;X&lt;80</t>
  </si>
  <si>
    <t xml:space="preserve">DATA -1 </t>
  </si>
  <si>
    <t>DATA -2</t>
  </si>
  <si>
    <t>FOR FINDING TWO COLUNMS VARIANCE</t>
  </si>
  <si>
    <t>DO COLUMNS  KA CORRELATION CHEK KARNE KE LIYE USE HOTA HAI</t>
  </si>
  <si>
    <t>DATA - 1</t>
  </si>
  <si>
    <t>DATA - 2</t>
  </si>
  <si>
    <t>CORRELATION</t>
  </si>
  <si>
    <t>DATA</t>
  </si>
  <si>
    <t>MEDIAN</t>
  </si>
  <si>
    <t>VAR</t>
  </si>
  <si>
    <t>Q1</t>
  </si>
  <si>
    <t>Q2</t>
  </si>
  <si>
    <t>Q3</t>
  </si>
  <si>
    <t>Q0</t>
  </si>
  <si>
    <t>IQR</t>
  </si>
  <si>
    <t>H1</t>
  </si>
  <si>
    <t>H0</t>
  </si>
  <si>
    <t xml:space="preserve">P VALUE </t>
  </si>
  <si>
    <t>ALPHA VALUE</t>
  </si>
  <si>
    <t>T-STAT</t>
  </si>
  <si>
    <t xml:space="preserve">CONCLUSION :  </t>
  </si>
  <si>
    <t>HERE  OUR P VALUE IS LESS THAN SIGNIFICANT LEVEL (ALPHA), SO WE REJECT NULL HYPOTHYSIS  AND WE CONCLUDE THAT SAMPLE MEAN IS SIGNIFICANTLY DIFFERENT FROM POPULATION MEAN</t>
  </si>
  <si>
    <t>&lt;</t>
  </si>
  <si>
    <t>IS 70</t>
  </si>
  <si>
    <t>NOT 70</t>
  </si>
  <si>
    <t>T-CRIT</t>
  </si>
  <si>
    <t>NO SIGNIFICANT DIFFRENCE IN TWO SAMPLE</t>
  </si>
  <si>
    <t>THRE IS A SIGNIFICANT DIFFRENCE IN TWO SAMPLE</t>
  </si>
  <si>
    <t>HERE  OUR P VALUE IS LESS THAN SIGNIFICANT LEVEL (ALPHA), SO WE REJECT NULL HYPOTHYSIS  AND WE CONCLUDE THAT SAMPLE 1  MEAN IS SIGNIFICANTLY DIFFERENT FROM SAMPLE 2  MEAN</t>
  </si>
  <si>
    <t>N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</si>
  <si>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</si>
  <si>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</si>
  <si>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</si>
  <si>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</si>
  <si>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</si>
  <si>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</si>
  <si>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</si>
  <si>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</si>
  <si>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</si>
  <si>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</si>
  <si>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</si>
  <si>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</si>
  <si>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</si>
  <si>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</si>
  <si>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</si>
  <si>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T</t>
  </si>
  <si>
    <t>Z</t>
  </si>
  <si>
    <t xml:space="preserve">BY FORMULA </t>
  </si>
  <si>
    <t>BY   DTA ANALYSIS</t>
  </si>
  <si>
    <t>&lt;30,POP VAR UNKNOWN</t>
  </si>
  <si>
    <t>&gt;30, PO VAR KNOWN</t>
  </si>
  <si>
    <t>LOWER RANGE</t>
  </si>
  <si>
    <t>UPPER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</si>
</sst>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1" fillId="0" borderId="3" xfId="0" applyFont="1" applyFill="1" applyBorder="1" applyAlignment="1">
      <alignment horizontal="centerContinuous"/>
    </xf>
    <xf numFmtId="0" fontId="0" fillId="2" borderId="2" xfId="0" applyFill="1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037A2-7B96-41EA-B4CF-5FC3144D0F38}">
  <dimension ref="B3:L10"/>
  <sheetViews>
    <sheetView workbookViewId="0">
      <selection activeCell="H14" sqref="H14"/>
    </sheetView>
  </sheetViews>
  <sheetFormatPr defaultRowHeight="14.4" x14ac:dyDescent="0.3"/>
  <sheetData>
    <row r="3" spans="2:12" x14ac:dyDescent="0.3">
      <c r="B3" s="3" t="s">
        <v>7</v>
      </c>
      <c r="C3" s="3"/>
      <c r="D3" s="3"/>
      <c r="E3" s="3"/>
      <c r="F3" s="3"/>
      <c r="G3" s="3"/>
    </row>
    <row r="4" spans="2:12" x14ac:dyDescent="0.3">
      <c r="B4" t="s">
        <v>8</v>
      </c>
      <c r="C4">
        <v>100</v>
      </c>
      <c r="D4" s="1" t="s">
        <v>0</v>
      </c>
      <c r="E4" s="1">
        <f>_xlfn.NORM.DIST(115,100,10,0)</f>
        <v>1.2951759566589173E-2</v>
      </c>
      <c r="I4" t="s">
        <v>10</v>
      </c>
      <c r="J4">
        <v>70</v>
      </c>
      <c r="K4" s="1" t="s">
        <v>12</v>
      </c>
      <c r="L4" s="1">
        <f>_xlfn.NORM.DIST(85,70,10,1)</f>
        <v>0.93319279873114191</v>
      </c>
    </row>
    <row r="5" spans="2:12" x14ac:dyDescent="0.3">
      <c r="B5" t="s">
        <v>9</v>
      </c>
      <c r="C5">
        <v>10</v>
      </c>
      <c r="D5" s="1" t="s">
        <v>1</v>
      </c>
      <c r="E5" s="1">
        <f>_xlfn.NORM.DIST(78,100,10,0)</f>
        <v>3.5474592846231421E-3</v>
      </c>
      <c r="I5" t="s">
        <v>11</v>
      </c>
      <c r="J5">
        <v>10</v>
      </c>
      <c r="K5" s="1" t="s">
        <v>13</v>
      </c>
      <c r="L5" s="1">
        <f>_xlfn.NORM.DIST(90,70,10,1)-_xlfn.NORM.DIST(70,70,10,1)</f>
        <v>0.47724986805182079</v>
      </c>
    </row>
    <row r="6" spans="2:12" x14ac:dyDescent="0.3">
      <c r="D6" s="1" t="s">
        <v>2</v>
      </c>
      <c r="E6" s="1">
        <f>_xlfn.NORM.DIST(80,100,10,1)</f>
        <v>2.2750131948179191E-2</v>
      </c>
      <c r="K6" s="1" t="s">
        <v>14</v>
      </c>
      <c r="L6" s="1">
        <f>_xlfn.NORM.DIST(95,70,10,1)</f>
        <v>0.99379033467422384</v>
      </c>
    </row>
    <row r="7" spans="2:12" x14ac:dyDescent="0.3">
      <c r="D7" s="1" t="s">
        <v>3</v>
      </c>
      <c r="E7" s="1">
        <f>1-E6</f>
        <v>0.97724986805182079</v>
      </c>
      <c r="K7" s="1" t="s">
        <v>15</v>
      </c>
      <c r="L7" s="1">
        <f>_xlfn.NORM.DIST(80,70,10,1)-_xlfn.NORM.DIST(50,70,10,1)</f>
        <v>0.81859461412036383</v>
      </c>
    </row>
    <row r="8" spans="2:12" x14ac:dyDescent="0.3">
      <c r="D8" s="1" t="s">
        <v>4</v>
      </c>
      <c r="E8" s="1">
        <f>1-_xlfn.NORM.DIST(125,100,10,1)</f>
        <v>6.2096653257761592E-3</v>
      </c>
    </row>
    <row r="9" spans="2:12" x14ac:dyDescent="0.3">
      <c r="D9" s="1" t="s">
        <v>5</v>
      </c>
      <c r="E9" s="1">
        <f>0.5-_xlfn.NORM.DIST(85,100,10,1)</f>
        <v>0.43319279873114191</v>
      </c>
    </row>
    <row r="10" spans="2:12" x14ac:dyDescent="0.3">
      <c r="D10" s="1" t="s">
        <v>6</v>
      </c>
      <c r="E10" s="1">
        <f>_xlfn.NORM.DIST(125,100,10,1)-_xlfn.NORM.DIST(95,100,10,1)</f>
        <v>0.68525279594823696</v>
      </c>
    </row>
  </sheetData>
  <mergeCells count="1">
    <mergeCell ref="B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3E50F-AEBA-4067-A30D-57FC137C386F}">
  <dimension ref="A1:D14"/>
  <sheetViews>
    <sheetView workbookViewId="0">
      <selection activeCell="C9" sqref="C9"/>
    </sheetView>
  </sheetViews>
  <sheetFormatPr defaultRowHeight="14.4" x14ac:dyDescent="0.3"/>
  <cols>
    <col min="3" max="3" width="35" bestFit="1" customWidth="1"/>
  </cols>
  <sheetData>
    <row r="1" spans="1:4" x14ac:dyDescent="0.3">
      <c r="A1" t="s">
        <v>16</v>
      </c>
      <c r="B1" t="s">
        <v>17</v>
      </c>
      <c r="C1" s="2" t="s">
        <v>18</v>
      </c>
    </row>
    <row r="2" spans="1:4" x14ac:dyDescent="0.3">
      <c r="A2">
        <f ca="1">RANDBETWEEN(10,20)</f>
        <v>12</v>
      </c>
      <c r="B2">
        <f ca="1">RANDBETWEEN(100,200)</f>
        <v>102</v>
      </c>
      <c r="D2">
        <f ca="1">_xlfn.COVARIANCE.P(A2:A14,B2:B14)</f>
        <v>11.538461538461538</v>
      </c>
    </row>
    <row r="3" spans="1:4" x14ac:dyDescent="0.3">
      <c r="A3">
        <f t="shared" ref="A3:A14" ca="1" si="0">RANDBETWEEN(10,20)</f>
        <v>16</v>
      </c>
      <c r="B3">
        <f t="shared" ref="B3:B14" ca="1" si="1">RANDBETWEEN(100,200)</f>
        <v>127</v>
      </c>
    </row>
    <row r="4" spans="1:4" x14ac:dyDescent="0.3">
      <c r="A4">
        <f t="shared" ca="1" si="0"/>
        <v>20</v>
      </c>
      <c r="B4">
        <f t="shared" ca="1" si="1"/>
        <v>175</v>
      </c>
    </row>
    <row r="5" spans="1:4" x14ac:dyDescent="0.3">
      <c r="A5">
        <f t="shared" ca="1" si="0"/>
        <v>12</v>
      </c>
      <c r="B5">
        <f t="shared" ca="1" si="1"/>
        <v>171</v>
      </c>
    </row>
    <row r="6" spans="1:4" x14ac:dyDescent="0.3">
      <c r="A6">
        <f t="shared" ca="1" si="0"/>
        <v>17</v>
      </c>
      <c r="B6">
        <f t="shared" ca="1" si="1"/>
        <v>125</v>
      </c>
    </row>
    <row r="7" spans="1:4" x14ac:dyDescent="0.3">
      <c r="A7">
        <f t="shared" ca="1" si="0"/>
        <v>17</v>
      </c>
      <c r="B7">
        <f t="shared" ca="1" si="1"/>
        <v>123</v>
      </c>
    </row>
    <row r="8" spans="1:4" x14ac:dyDescent="0.3">
      <c r="A8">
        <f t="shared" ca="1" si="0"/>
        <v>11</v>
      </c>
      <c r="B8">
        <f t="shared" ca="1" si="1"/>
        <v>139</v>
      </c>
    </row>
    <row r="9" spans="1:4" x14ac:dyDescent="0.3">
      <c r="A9">
        <f t="shared" ca="1" si="0"/>
        <v>17</v>
      </c>
      <c r="B9">
        <f t="shared" ca="1" si="1"/>
        <v>148</v>
      </c>
    </row>
    <row r="10" spans="1:4" x14ac:dyDescent="0.3">
      <c r="A10">
        <f t="shared" ca="1" si="0"/>
        <v>15</v>
      </c>
      <c r="B10">
        <f t="shared" ca="1" si="1"/>
        <v>179</v>
      </c>
    </row>
    <row r="11" spans="1:4" x14ac:dyDescent="0.3">
      <c r="A11">
        <f t="shared" ca="1" si="0"/>
        <v>10</v>
      </c>
      <c r="B11">
        <f t="shared" ca="1" si="1"/>
        <v>168</v>
      </c>
    </row>
    <row r="12" spans="1:4" x14ac:dyDescent="0.3">
      <c r="A12">
        <f t="shared" ca="1" si="0"/>
        <v>11</v>
      </c>
      <c r="B12">
        <f t="shared" ca="1" si="1"/>
        <v>180</v>
      </c>
    </row>
    <row r="13" spans="1:4" x14ac:dyDescent="0.3">
      <c r="A13">
        <f t="shared" ca="1" si="0"/>
        <v>20</v>
      </c>
      <c r="B13">
        <f t="shared" ca="1" si="1"/>
        <v>199</v>
      </c>
    </row>
    <row r="14" spans="1:4" x14ac:dyDescent="0.3">
      <c r="A14">
        <f t="shared" ca="1" si="0"/>
        <v>14</v>
      </c>
      <c r="B14">
        <f t="shared" ca="1" si="1"/>
        <v>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678B5-BB95-42B6-9874-AF0F08FDE3F4}">
  <dimension ref="A1:E12"/>
  <sheetViews>
    <sheetView workbookViewId="0">
      <selection activeCell="E15" sqref="E15"/>
    </sheetView>
  </sheetViews>
  <sheetFormatPr defaultRowHeight="14.4" x14ac:dyDescent="0.3"/>
  <sheetData>
    <row r="1" spans="1:5" x14ac:dyDescent="0.3">
      <c r="A1" s="4" t="s">
        <v>19</v>
      </c>
      <c r="B1" s="4"/>
      <c r="C1" s="4"/>
      <c r="D1" s="4"/>
      <c r="E1" s="4"/>
    </row>
    <row r="2" spans="1:5" x14ac:dyDescent="0.3">
      <c r="A2" s="1" t="s">
        <v>20</v>
      </c>
      <c r="B2" s="1" t="s">
        <v>21</v>
      </c>
      <c r="D2" t="s">
        <v>22</v>
      </c>
    </row>
    <row r="3" spans="1:5" x14ac:dyDescent="0.3">
      <c r="A3" s="1">
        <v>1</v>
      </c>
      <c r="B3" s="1">
        <v>10</v>
      </c>
      <c r="D3" s="2">
        <f>CORREL(A3:A12,B3:B12)</f>
        <v>-1</v>
      </c>
    </row>
    <row r="4" spans="1:5" x14ac:dyDescent="0.3">
      <c r="A4" s="1">
        <v>2</v>
      </c>
      <c r="B4" s="1">
        <v>9</v>
      </c>
    </row>
    <row r="5" spans="1:5" x14ac:dyDescent="0.3">
      <c r="A5" s="1">
        <v>3</v>
      </c>
      <c r="B5" s="1">
        <v>8</v>
      </c>
    </row>
    <row r="6" spans="1:5" x14ac:dyDescent="0.3">
      <c r="A6" s="1">
        <v>4</v>
      </c>
      <c r="B6" s="1">
        <v>7</v>
      </c>
    </row>
    <row r="7" spans="1:5" x14ac:dyDescent="0.3">
      <c r="A7" s="1">
        <v>5</v>
      </c>
      <c r="B7" s="1">
        <v>6</v>
      </c>
    </row>
    <row r="8" spans="1:5" x14ac:dyDescent="0.3">
      <c r="A8" s="1">
        <v>6</v>
      </c>
      <c r="B8" s="1">
        <v>5</v>
      </c>
    </row>
    <row r="9" spans="1:5" x14ac:dyDescent="0.3">
      <c r="A9" s="1">
        <v>7</v>
      </c>
      <c r="B9" s="1">
        <v>4</v>
      </c>
    </row>
    <row r="10" spans="1:5" x14ac:dyDescent="0.3">
      <c r="A10" s="1">
        <v>8</v>
      </c>
      <c r="B10" s="1">
        <v>3</v>
      </c>
    </row>
    <row r="11" spans="1:5" x14ac:dyDescent="0.3">
      <c r="A11" s="1">
        <v>9</v>
      </c>
      <c r="B11" s="1">
        <v>2</v>
      </c>
    </row>
    <row r="12" spans="1:5" x14ac:dyDescent="0.3">
      <c r="A12" s="1">
        <v>10</v>
      </c>
      <c r="B12" s="1">
        <v>1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A3C05-2B35-4660-94DD-1C20ECD3AC67}">
  <dimension ref="A1:G17"/>
  <sheetViews>
    <sheetView workbookViewId="0">
      <selection activeCell="G6" sqref="G6"/>
    </sheetView>
  </sheetViews>
  <sheetFormatPr defaultRowHeight="14.4" x14ac:dyDescent="0.3"/>
  <sheetData>
    <row r="1" spans="1:7" x14ac:dyDescent="0.3">
      <c r="A1" t="s">
        <v>23</v>
      </c>
      <c r="F1" t="s">
        <v>29</v>
      </c>
      <c r="G1">
        <f ca="1">QUARTILE(A2:A17,0)</f>
        <v>10</v>
      </c>
    </row>
    <row r="2" spans="1:7" x14ac:dyDescent="0.3">
      <c r="A2">
        <f ca="1">RANDBETWEEN(10,50)</f>
        <v>36</v>
      </c>
      <c r="C2" t="s">
        <v>10</v>
      </c>
      <c r="D2">
        <f ca="1">AVERAGE(A2:A17)</f>
        <v>30.25</v>
      </c>
      <c r="F2" t="s">
        <v>26</v>
      </c>
      <c r="G2">
        <f ca="1">QUARTILE(A3:A18,1)</f>
        <v>17.5</v>
      </c>
    </row>
    <row r="3" spans="1:7" x14ac:dyDescent="0.3">
      <c r="A3">
        <f t="shared" ref="A3:A17" ca="1" si="0">RANDBETWEEN(10,50)</f>
        <v>17</v>
      </c>
      <c r="C3" t="s">
        <v>24</v>
      </c>
      <c r="D3">
        <f ca="1">MEDIAN(A2:A17)</f>
        <v>31</v>
      </c>
      <c r="F3" t="s">
        <v>27</v>
      </c>
      <c r="G3">
        <f ca="1">QUARTILE(A4:A19,2)</f>
        <v>31</v>
      </c>
    </row>
    <row r="4" spans="1:7" x14ac:dyDescent="0.3">
      <c r="A4">
        <f t="shared" ca="1" si="0"/>
        <v>18</v>
      </c>
      <c r="C4" t="s">
        <v>25</v>
      </c>
      <c r="D4">
        <f ca="1">_xlfn.VAR.P(A2:A17)</f>
        <v>166.1875</v>
      </c>
      <c r="F4" t="s">
        <v>28</v>
      </c>
      <c r="G4">
        <f ca="1">QUARTILE(A5:A20,3)</f>
        <v>44</v>
      </c>
    </row>
    <row r="5" spans="1:7" x14ac:dyDescent="0.3">
      <c r="A5">
        <f t="shared" ca="1" si="0"/>
        <v>44</v>
      </c>
      <c r="C5" t="s">
        <v>11</v>
      </c>
      <c r="D5">
        <f ca="1">_xlfn.STDEV.P(A2:A17)</f>
        <v>12.891373084353738</v>
      </c>
      <c r="F5" t="s">
        <v>30</v>
      </c>
      <c r="G5">
        <f ca="1">G4-G2</f>
        <v>26.5</v>
      </c>
    </row>
    <row r="6" spans="1:7" x14ac:dyDescent="0.3">
      <c r="A6">
        <f t="shared" ca="1" si="0"/>
        <v>38</v>
      </c>
    </row>
    <row r="7" spans="1:7" x14ac:dyDescent="0.3">
      <c r="A7">
        <f t="shared" ca="1" si="0"/>
        <v>43</v>
      </c>
    </row>
    <row r="8" spans="1:7" x14ac:dyDescent="0.3">
      <c r="A8">
        <f t="shared" ca="1" si="0"/>
        <v>17</v>
      </c>
    </row>
    <row r="9" spans="1:7" x14ac:dyDescent="0.3">
      <c r="A9">
        <f t="shared" ca="1" si="0"/>
        <v>48</v>
      </c>
    </row>
    <row r="10" spans="1:7" x14ac:dyDescent="0.3">
      <c r="A10">
        <f t="shared" ca="1" si="0"/>
        <v>48</v>
      </c>
    </row>
    <row r="11" spans="1:7" x14ac:dyDescent="0.3">
      <c r="A11">
        <f t="shared" ca="1" si="0"/>
        <v>26</v>
      </c>
    </row>
    <row r="12" spans="1:7" x14ac:dyDescent="0.3">
      <c r="A12">
        <f t="shared" ca="1" si="0"/>
        <v>23</v>
      </c>
    </row>
    <row r="13" spans="1:7" x14ac:dyDescent="0.3">
      <c r="A13">
        <f t="shared" ca="1" si="0"/>
        <v>32</v>
      </c>
    </row>
    <row r="14" spans="1:7" x14ac:dyDescent="0.3">
      <c r="A14">
        <f t="shared" ca="1" si="0"/>
        <v>30</v>
      </c>
    </row>
    <row r="15" spans="1:7" x14ac:dyDescent="0.3">
      <c r="A15">
        <f t="shared" ca="1" si="0"/>
        <v>44</v>
      </c>
    </row>
    <row r="16" spans="1:7" x14ac:dyDescent="0.3">
      <c r="A16">
        <f t="shared" ca="1" si="0"/>
        <v>10</v>
      </c>
    </row>
    <row r="17" spans="1:1" x14ac:dyDescent="0.3">
      <c r="A17">
        <f t="shared" ca="1" si="0"/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CDDD2-345C-44E2-B3A7-C6C33A73B8A3}">
  <dimension ref="A1:N25"/>
  <sheetViews>
    <sheetView workbookViewId="0">
      <selection activeCell="G23" sqref="G23"/>
    </sheetView>
  </sheetViews>
  <sheetFormatPr defaultRowHeight="14.4" x14ac:dyDescent="0.3"/>
  <cols>
    <col min="5" max="5" width="44.109375" bestFit="1" customWidth="1"/>
    <col min="13" max="13" width="12" customWidth="1"/>
    <col min="14" max="14" width="165.44140625" bestFit="1" customWidth="1"/>
  </cols>
  <sheetData>
    <row r="1" spans="1:14" x14ac:dyDescent="0.3">
      <c r="A1" t="s">
        <v>26</v>
      </c>
    </row>
    <row r="2" spans="1:14" x14ac:dyDescent="0.3">
      <c r="A2">
        <f ca="1">RANDBETWEEN(70,80)</f>
        <v>72</v>
      </c>
      <c r="B2">
        <v>0</v>
      </c>
    </row>
    <row r="3" spans="1:14" x14ac:dyDescent="0.3">
      <c r="A3">
        <f t="shared" ref="A3:A11" ca="1" si="0">RANDBETWEEN(70,80)</f>
        <v>78</v>
      </c>
      <c r="B3">
        <v>0</v>
      </c>
      <c r="C3" s="1" t="s">
        <v>32</v>
      </c>
      <c r="D3" s="1" t="s">
        <v>39</v>
      </c>
    </row>
    <row r="4" spans="1:14" x14ac:dyDescent="0.3">
      <c r="A4">
        <f t="shared" ca="1" si="0"/>
        <v>72</v>
      </c>
      <c r="B4">
        <v>0</v>
      </c>
      <c r="C4" s="1" t="s">
        <v>31</v>
      </c>
      <c r="D4" s="1" t="s">
        <v>40</v>
      </c>
    </row>
    <row r="5" spans="1:14" x14ac:dyDescent="0.3">
      <c r="A5">
        <f t="shared" ca="1" si="0"/>
        <v>78</v>
      </c>
    </row>
    <row r="6" spans="1:14" x14ac:dyDescent="0.3">
      <c r="A6">
        <f t="shared" ca="1" si="0"/>
        <v>80</v>
      </c>
      <c r="I6" s="1" t="s">
        <v>33</v>
      </c>
      <c r="J6" s="1"/>
      <c r="K6" s="1" t="s">
        <v>34</v>
      </c>
      <c r="M6" s="2" t="s">
        <v>36</v>
      </c>
      <c r="N6" t="s">
        <v>37</v>
      </c>
    </row>
    <row r="7" spans="1:14" x14ac:dyDescent="0.3">
      <c r="A7">
        <f t="shared" ca="1" si="0"/>
        <v>72</v>
      </c>
      <c r="I7" s="1">
        <v>0.02</v>
      </c>
      <c r="J7" s="1" t="s">
        <v>38</v>
      </c>
      <c r="K7" s="1">
        <v>0.05</v>
      </c>
    </row>
    <row r="8" spans="1:14" x14ac:dyDescent="0.3">
      <c r="A8">
        <f t="shared" ca="1" si="0"/>
        <v>72</v>
      </c>
    </row>
    <row r="9" spans="1:14" x14ac:dyDescent="0.3">
      <c r="A9">
        <f t="shared" ca="1" si="0"/>
        <v>70</v>
      </c>
      <c r="I9" s="1" t="s">
        <v>41</v>
      </c>
      <c r="J9" s="1"/>
      <c r="K9" s="1" t="s">
        <v>35</v>
      </c>
    </row>
    <row r="10" spans="1:14" x14ac:dyDescent="0.3">
      <c r="A10">
        <f t="shared" ca="1" si="0"/>
        <v>77</v>
      </c>
      <c r="I10" s="1">
        <v>2.44</v>
      </c>
      <c r="J10" s="1" t="s">
        <v>38</v>
      </c>
      <c r="K10" s="1">
        <v>2.85</v>
      </c>
    </row>
    <row r="11" spans="1:14" x14ac:dyDescent="0.3">
      <c r="A11">
        <f t="shared" ca="1" si="0"/>
        <v>78</v>
      </c>
    </row>
    <row r="20" spans="1:14" x14ac:dyDescent="0.3">
      <c r="A20" t="s">
        <v>27</v>
      </c>
    </row>
    <row r="21" spans="1:14" x14ac:dyDescent="0.3">
      <c r="A21">
        <v>85</v>
      </c>
      <c r="B21">
        <v>78</v>
      </c>
      <c r="D21" t="s">
        <v>32</v>
      </c>
      <c r="E21" t="s">
        <v>42</v>
      </c>
      <c r="I21" s="1" t="s">
        <v>33</v>
      </c>
      <c r="J21" s="1"/>
      <c r="K21" s="1" t="s">
        <v>34</v>
      </c>
      <c r="M21" s="2" t="s">
        <v>36</v>
      </c>
      <c r="N21" t="s">
        <v>44</v>
      </c>
    </row>
    <row r="22" spans="1:14" x14ac:dyDescent="0.3">
      <c r="A22">
        <v>87</v>
      </c>
      <c r="B22">
        <v>75</v>
      </c>
      <c r="D22" t="s">
        <v>31</v>
      </c>
      <c r="E22" t="s">
        <v>43</v>
      </c>
      <c r="I22" s="1">
        <v>2.0000000000000001E-4</v>
      </c>
      <c r="J22" s="1" t="s">
        <v>38</v>
      </c>
      <c r="K22" s="1">
        <v>0.05</v>
      </c>
    </row>
    <row r="23" spans="1:14" x14ac:dyDescent="0.3">
      <c r="A23">
        <v>90</v>
      </c>
      <c r="B23">
        <v>80</v>
      </c>
    </row>
    <row r="24" spans="1:14" x14ac:dyDescent="0.3">
      <c r="A24">
        <v>88</v>
      </c>
      <c r="B24">
        <v>82</v>
      </c>
      <c r="I24" s="1" t="s">
        <v>41</v>
      </c>
      <c r="J24" s="1"/>
      <c r="K24" s="1" t="s">
        <v>35</v>
      </c>
    </row>
    <row r="25" spans="1:14" x14ac:dyDescent="0.3">
      <c r="A25">
        <v>87</v>
      </c>
      <c r="B25">
        <v>76</v>
      </c>
      <c r="I25" s="1">
        <v>2.306</v>
      </c>
      <c r="J25" s="1" t="s">
        <v>38</v>
      </c>
      <c r="K25" s="1">
        <v>5.79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E415-55A8-47DF-A352-C439587CCE85}">
  <dimension ref="A3:M30"/>
  <sheetViews>
    <sheetView tabSelected="1" workbookViewId="0">
      <selection activeCell="H13" sqref="H13"/>
    </sheetView>
  </sheetViews>
  <sheetFormatPr defaultRowHeight="14.4" x14ac:dyDescent="0.3"/>
  <cols>
    <col min="8" max="8" width="21.77734375" bestFit="1" customWidth="1"/>
    <col min="12" max="12" width="21.33203125" bestFit="1" customWidth="1"/>
  </cols>
  <sheetData>
    <row r="3" spans="1:13" ht="15" thickBot="1" x14ac:dyDescent="0.35">
      <c r="D3" s="4" t="s">
        <v>63</v>
      </c>
      <c r="E3" s="4"/>
      <c r="F3" s="4"/>
      <c r="G3" s="4"/>
      <c r="H3" s="4"/>
      <c r="L3" s="8" t="s">
        <v>64</v>
      </c>
      <c r="M3" s="8"/>
    </row>
    <row r="4" spans="1:13" x14ac:dyDescent="0.3">
      <c r="L4" s="7" t="s">
        <v>46</v>
      </c>
      <c r="M4" s="7"/>
    </row>
    <row r="5" spans="1:13" x14ac:dyDescent="0.3">
      <c r="A5" t="s">
        <v>23</v>
      </c>
      <c r="D5" s="1" t="s">
        <v>45</v>
      </c>
      <c r="E5" s="1">
        <v>25</v>
      </c>
      <c r="G5" t="s">
        <v>61</v>
      </c>
      <c r="H5">
        <f ca="1">_xlfn.CONFIDENCE.T(0.05,E7,E5)</f>
        <v>1.0758700219972479</v>
      </c>
      <c r="L5" s="5"/>
      <c r="M5" s="5"/>
    </row>
    <row r="6" spans="1:13" x14ac:dyDescent="0.3">
      <c r="A6">
        <f ca="1">RANDBETWEEN(11,20)</f>
        <v>18</v>
      </c>
      <c r="D6" s="1" t="s">
        <v>10</v>
      </c>
      <c r="E6" s="1">
        <f ca="1">AVERAGE(A6:$A$30)</f>
        <v>15.28</v>
      </c>
      <c r="G6" t="s">
        <v>62</v>
      </c>
      <c r="H6">
        <f ca="1">_xlfn.CONFIDENCE.NORM(0.05,E7,25)</f>
        <v>1.0216909563121077</v>
      </c>
      <c r="L6" s="5" t="s">
        <v>47</v>
      </c>
      <c r="M6" s="5">
        <v>16.2</v>
      </c>
    </row>
    <row r="7" spans="1:13" x14ac:dyDescent="0.3">
      <c r="A7">
        <f t="shared" ref="A7:A30" ca="1" si="0">RANDBETWEEN(11,20)</f>
        <v>14</v>
      </c>
      <c r="D7" s="1" t="s">
        <v>11</v>
      </c>
      <c r="E7" s="1">
        <f ca="1">_xlfn.STDEV.S(A6:$A$30)</f>
        <v>2.6064023736432813</v>
      </c>
      <c r="G7" s="9" t="s">
        <v>61</v>
      </c>
      <c r="H7" s="9" t="s">
        <v>65</v>
      </c>
      <c r="L7" s="5" t="s">
        <v>48</v>
      </c>
      <c r="M7" s="5">
        <v>0.55075705472861025</v>
      </c>
    </row>
    <row r="8" spans="1:13" x14ac:dyDescent="0.3">
      <c r="A8">
        <f t="shared" ca="1" si="0"/>
        <v>18</v>
      </c>
      <c r="G8" s="9" t="s">
        <v>62</v>
      </c>
      <c r="H8" s="9" t="s">
        <v>66</v>
      </c>
      <c r="L8" s="5" t="s">
        <v>49</v>
      </c>
      <c r="M8" s="5">
        <v>16</v>
      </c>
    </row>
    <row r="9" spans="1:13" x14ac:dyDescent="0.3">
      <c r="A9">
        <f t="shared" ca="1" si="0"/>
        <v>17</v>
      </c>
      <c r="L9" s="5" t="s">
        <v>50</v>
      </c>
      <c r="M9" s="5">
        <v>20</v>
      </c>
    </row>
    <row r="10" spans="1:13" x14ac:dyDescent="0.3">
      <c r="A10">
        <f t="shared" ca="1" si="0"/>
        <v>15</v>
      </c>
      <c r="L10" s="5" t="s">
        <v>51</v>
      </c>
      <c r="M10" s="5">
        <v>2.753785273643051</v>
      </c>
    </row>
    <row r="11" spans="1:13" x14ac:dyDescent="0.3">
      <c r="A11">
        <f t="shared" ca="1" si="0"/>
        <v>18</v>
      </c>
      <c r="G11" t="s">
        <v>67</v>
      </c>
      <c r="H11">
        <f ca="1">E6-H5</f>
        <v>14.204129978002751</v>
      </c>
      <c r="L11" s="5" t="s">
        <v>52</v>
      </c>
      <c r="M11" s="5">
        <v>7.583333333333333</v>
      </c>
    </row>
    <row r="12" spans="1:13" x14ac:dyDescent="0.3">
      <c r="A12">
        <f t="shared" ca="1" si="0"/>
        <v>13</v>
      </c>
      <c r="G12" t="s">
        <v>68</v>
      </c>
      <c r="H12">
        <f ca="1">E6+H5</f>
        <v>16.355870021997248</v>
      </c>
      <c r="L12" s="5" t="s">
        <v>53</v>
      </c>
      <c r="M12" s="5">
        <v>-0.90907849914061067</v>
      </c>
    </row>
    <row r="13" spans="1:13" x14ac:dyDescent="0.3">
      <c r="A13">
        <f t="shared" ca="1" si="0"/>
        <v>13</v>
      </c>
      <c r="L13" s="5" t="s">
        <v>54</v>
      </c>
      <c r="M13" s="5">
        <v>-5.7255160758920898E-2</v>
      </c>
    </row>
    <row r="14" spans="1:13" x14ac:dyDescent="0.3">
      <c r="A14">
        <f t="shared" ca="1" si="0"/>
        <v>17</v>
      </c>
      <c r="L14" s="5" t="s">
        <v>55</v>
      </c>
      <c r="M14" s="5">
        <v>9</v>
      </c>
    </row>
    <row r="15" spans="1:13" x14ac:dyDescent="0.3">
      <c r="A15">
        <f t="shared" ca="1" si="0"/>
        <v>11</v>
      </c>
      <c r="L15" s="5" t="s">
        <v>56</v>
      </c>
      <c r="M15" s="5">
        <v>11</v>
      </c>
    </row>
    <row r="16" spans="1:13" x14ac:dyDescent="0.3">
      <c r="A16">
        <f t="shared" ca="1" si="0"/>
        <v>17</v>
      </c>
      <c r="L16" s="5" t="s">
        <v>57</v>
      </c>
      <c r="M16" s="5">
        <v>20</v>
      </c>
    </row>
    <row r="17" spans="1:13" x14ac:dyDescent="0.3">
      <c r="A17">
        <f t="shared" ca="1" si="0"/>
        <v>16</v>
      </c>
      <c r="L17" s="5" t="s">
        <v>58</v>
      </c>
      <c r="M17" s="5">
        <v>405</v>
      </c>
    </row>
    <row r="18" spans="1:13" x14ac:dyDescent="0.3">
      <c r="A18">
        <f t="shared" ca="1" si="0"/>
        <v>17</v>
      </c>
      <c r="L18" s="5" t="s">
        <v>59</v>
      </c>
      <c r="M18" s="5">
        <v>25</v>
      </c>
    </row>
    <row r="19" spans="1:13" ht="15" thickBot="1" x14ac:dyDescent="0.35">
      <c r="A19">
        <f t="shared" ca="1" si="0"/>
        <v>13</v>
      </c>
      <c r="L19" s="6" t="s">
        <v>60</v>
      </c>
      <c r="M19" s="6">
        <v>1.1367066930608665</v>
      </c>
    </row>
    <row r="20" spans="1:13" x14ac:dyDescent="0.3">
      <c r="A20">
        <f t="shared" ca="1" si="0"/>
        <v>12</v>
      </c>
    </row>
    <row r="21" spans="1:13" x14ac:dyDescent="0.3">
      <c r="A21">
        <f t="shared" ca="1" si="0"/>
        <v>11</v>
      </c>
    </row>
    <row r="22" spans="1:13" x14ac:dyDescent="0.3">
      <c r="A22">
        <f t="shared" ca="1" si="0"/>
        <v>16</v>
      </c>
    </row>
    <row r="23" spans="1:13" x14ac:dyDescent="0.3">
      <c r="A23">
        <f t="shared" ca="1" si="0"/>
        <v>14</v>
      </c>
    </row>
    <row r="24" spans="1:13" x14ac:dyDescent="0.3">
      <c r="A24">
        <f t="shared" ca="1" si="0"/>
        <v>13</v>
      </c>
    </row>
    <row r="25" spans="1:13" x14ac:dyDescent="0.3">
      <c r="A25">
        <f t="shared" ca="1" si="0"/>
        <v>20</v>
      </c>
    </row>
    <row r="26" spans="1:13" x14ac:dyDescent="0.3">
      <c r="A26">
        <f t="shared" ca="1" si="0"/>
        <v>12</v>
      </c>
    </row>
    <row r="27" spans="1:13" x14ac:dyDescent="0.3">
      <c r="A27">
        <f t="shared" ca="1" si="0"/>
        <v>18</v>
      </c>
    </row>
    <row r="28" spans="1:13" x14ac:dyDescent="0.3">
      <c r="A28">
        <f t="shared" ca="1" si="0"/>
        <v>14</v>
      </c>
    </row>
    <row r="29" spans="1:13" x14ac:dyDescent="0.3">
      <c r="A29">
        <f t="shared" ca="1" si="0"/>
        <v>19</v>
      </c>
    </row>
    <row r="30" spans="1:13" x14ac:dyDescent="0.3">
      <c r="A30">
        <f t="shared" ca="1" si="0"/>
        <v>16</v>
      </c>
    </row>
  </sheetData>
  <mergeCells count="2">
    <mergeCell ref="D3:H3"/>
    <mergeCell ref="L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CONTINUS NORMAL DISTRIBUTION</vt:lpstr>
      <vt:lpstr>COVARIANCE</vt:lpstr>
      <vt:lpstr>CORRELATION </vt:lpstr>
      <vt:lpstr>MEAN ,MEDIAN,MAD ,QUARTILE ,IQR</vt:lpstr>
      <vt:lpstr>Sheet1</vt:lpstr>
      <vt:lpstr>confidence level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 devani</dc:creator>
  <cp:lastModifiedBy>keyu devani</cp:lastModifiedBy>
  <dcterms:created xsi:type="dcterms:W3CDTF">2026-07-27T06:23:27Z</dcterms:created>
  <dcterms:modified xsi:type="dcterms:W3CDTF">2026-08-07T07:00:45Z</dcterms:modified>
</cp:coreProperties>
</file>