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31E1F26-FE6C-4333-9292-1507CED9EA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 T-Tests" sheetId="1" r:id="rId1"/>
    <sheet name="Verified 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17" i="1"/>
  <c r="B112" i="1"/>
  <c r="B111" i="1"/>
  <c r="B109" i="1"/>
  <c r="B108" i="1"/>
  <c r="B90" i="1"/>
  <c r="B88" i="1"/>
  <c r="B61" i="1"/>
  <c r="C59" i="1"/>
  <c r="C58" i="1"/>
  <c r="C57" i="1"/>
  <c r="C56" i="1"/>
  <c r="C55" i="1"/>
  <c r="C54" i="1"/>
  <c r="C53" i="1"/>
  <c r="C52" i="1"/>
  <c r="C51" i="1"/>
  <c r="C50" i="1"/>
  <c r="B63" i="1" s="1"/>
  <c r="B64" i="1" s="1"/>
  <c r="B65" i="1" s="1"/>
  <c r="B42" i="1"/>
  <c r="B41" i="1"/>
  <c r="B40" i="1"/>
  <c r="B38" i="1"/>
  <c r="B16" i="1"/>
  <c r="B19" i="1" l="1"/>
  <c r="B62" i="1" l="1"/>
  <c r="B89" i="1"/>
  <c r="B43" i="1"/>
  <c r="B39" i="1"/>
</calcChain>
</file>

<file path=xl/sharedStrings.xml><?xml version="1.0" encoding="utf-8"?>
<sst xmlns="http://schemas.openxmlformats.org/spreadsheetml/2006/main" count="79" uniqueCount="56">
  <si>
    <t>SESSION 13 – T-TEST ASSIGNMENT (EXCEL CALCULATIONS)</t>
  </si>
  <si>
    <t>QUESTION 1: One-Sample t-Test: Zomato Delivery Time</t>
  </si>
  <si>
    <t>Delivery Time (min)</t>
  </si>
  <si>
    <t>Sample Mean</t>
  </si>
  <si>
    <t>Sample SD</t>
  </si>
  <si>
    <t>Hypothesized Mean</t>
  </si>
  <si>
    <t>t-statistic</t>
  </si>
  <si>
    <t>Two-tailed p-value</t>
  </si>
  <si>
    <t>Conclusion</t>
  </si>
  <si>
    <t>No significant difference from 30 minutes.</t>
  </si>
  <si>
    <t>Why this test?</t>
  </si>
  <si>
    <t>A one-sample t-test compares one sample mean with a fixed benchmark (30 minutes).</t>
  </si>
  <si>
    <t>QUESTION 2: Independent Two-Sample t-Test: Daily Steps</t>
  </si>
  <si>
    <t>Before App</t>
  </si>
  <si>
    <t>After App</t>
  </si>
  <si>
    <t>Before Mean</t>
  </si>
  <si>
    <t>After Mean</t>
  </si>
  <si>
    <t>Before SD</t>
  </si>
  <si>
    <t>After SD</t>
  </si>
  <si>
    <t>Two-tailed p-value (Excel T.TEST)</t>
  </si>
  <si>
    <t>t-statistic (equal variance)</t>
  </si>
  <si>
    <t>Average steps increased significantly after the app.</t>
  </si>
  <si>
    <t>The two groups are independent, so an independent two-sample t-test is appropriate.</t>
  </si>
  <si>
    <t>QUESTION 3: Paired t-Test: Screen Time Before vs After Focus Mode</t>
  </si>
  <si>
    <t>Before (hours)</t>
  </si>
  <si>
    <t>After (hours)</t>
  </si>
  <si>
    <t>Mean Difference</t>
  </si>
  <si>
    <t>Paired t-statistic</t>
  </si>
  <si>
    <t>Focus Mode significantly reduced screen time.</t>
  </si>
  <si>
    <t>The same 10 users are measured before and after, so the observations are paired. Column C calculates Before − After.</t>
  </si>
  <si>
    <t>QUESTION 4: Independent Two-Sample t-Test: Zomato vs Swiggy Ratings</t>
  </si>
  <si>
    <t>Zomato Rating</t>
  </si>
  <si>
    <t>Swiggy Rating</t>
  </si>
  <si>
    <t>Zomato Mean</t>
  </si>
  <si>
    <t>Swiggy Mean</t>
  </si>
  <si>
    <t>No significant difference in average ratings.</t>
  </si>
  <si>
    <t>The 15 Zomato and 15 Swiggy ratings are separate independent samples, so an independent two-sample t-test is appropriate.</t>
  </si>
  <si>
    <t>QUESTION 5: One-Sample t-Test: PhonePe UPI Transactions</t>
  </si>
  <si>
    <t>Transactions per Day</t>
  </si>
  <si>
    <t>No significant difference from 4 transactions/day.</t>
  </si>
  <si>
    <t>A one-sample t-test compares the PhonePe sample mean with the benchmark of 4 transactions per day.</t>
  </si>
  <si>
    <t>Question</t>
  </si>
  <si>
    <t>Test</t>
  </si>
  <si>
    <t>p-value</t>
  </si>
  <si>
    <t>Alpha</t>
  </si>
  <si>
    <t>Result</t>
  </si>
  <si>
    <t>Q1</t>
  </si>
  <si>
    <t>One-sample</t>
  </si>
  <si>
    <t>Fail to reject H0 (not significant)</t>
  </si>
  <si>
    <t>Q2</t>
  </si>
  <si>
    <t>Independent two-sample</t>
  </si>
  <si>
    <t>Reject H0 (significant)</t>
  </si>
  <si>
    <t>Q3</t>
  </si>
  <si>
    <t>Paired</t>
  </si>
  <si>
    <t>Q4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</si>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</sst>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tabSelected="1" workbookViewId="0">
      <pane ySplit="2" topLeftCell="A71" activePane="bottomLeft" state="frozen"/>
      <selection pane="bottomLeft" activeCell="D82" sqref="D82"/>
    </sheetView>
  </sheetViews>
  <sheetFormatPr defaultRowHeight="14.4" x14ac:dyDescent="0.3"/>
  <cols>
    <col min="1" max="8" width="28" customWidth="1"/>
  </cols>
  <sheetData>
    <row r="1" spans="1:8" x14ac:dyDescent="0.3">
      <c r="A1" s="8" t="s">
        <v>0</v>
      </c>
      <c r="B1" s="7"/>
      <c r="C1" s="7"/>
      <c r="D1" s="7"/>
      <c r="E1" s="7"/>
      <c r="F1" s="7"/>
      <c r="G1" s="7"/>
      <c r="H1" s="7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6" t="s">
        <v>1</v>
      </c>
      <c r="B3" s="7"/>
      <c r="C3" s="7"/>
      <c r="D3" s="7"/>
      <c r="E3" s="7"/>
      <c r="F3" s="7"/>
      <c r="G3" s="7"/>
      <c r="H3" s="7"/>
    </row>
    <row r="4" spans="1:8" x14ac:dyDescent="0.3">
      <c r="A4" s="2" t="s">
        <v>2</v>
      </c>
      <c r="B4" s="1"/>
      <c r="C4" s="1"/>
      <c r="D4" s="1"/>
      <c r="E4" s="1"/>
      <c r="F4" s="1"/>
      <c r="G4" s="1"/>
      <c r="H4" s="1"/>
    </row>
    <row r="5" spans="1:8" x14ac:dyDescent="0.3">
      <c r="A5" s="1">
        <v>28</v>
      </c>
      <c r="B5" s="1"/>
      <c r="C5" s="1"/>
      <c r="D5" s="1"/>
      <c r="E5" s="1"/>
      <c r="F5" s="1"/>
      <c r="G5" s="1"/>
      <c r="H5" s="1"/>
    </row>
    <row r="6" spans="1:8" x14ac:dyDescent="0.3">
      <c r="A6" s="1">
        <v>32</v>
      </c>
      <c r="B6" s="1"/>
      <c r="C6" s="1"/>
      <c r="D6" s="1"/>
      <c r="E6" s="1"/>
      <c r="F6" s="1"/>
      <c r="G6" s="1"/>
      <c r="H6" s="1"/>
    </row>
    <row r="7" spans="1:8" x14ac:dyDescent="0.3">
      <c r="A7" s="1">
        <v>27</v>
      </c>
      <c r="B7" s="1"/>
      <c r="C7" s="1"/>
      <c r="D7" s="1"/>
      <c r="E7" s="1"/>
      <c r="F7" s="1"/>
      <c r="G7" s="1"/>
      <c r="H7" s="1"/>
    </row>
    <row r="8" spans="1:8" x14ac:dyDescent="0.3">
      <c r="A8" s="1">
        <v>35</v>
      </c>
      <c r="B8" s="1"/>
      <c r="C8" s="1"/>
      <c r="D8" s="1"/>
      <c r="E8" s="1"/>
      <c r="F8" s="1"/>
      <c r="G8" s="1"/>
      <c r="H8" s="1"/>
    </row>
    <row r="9" spans="1:8" x14ac:dyDescent="0.3">
      <c r="A9" s="1">
        <v>29</v>
      </c>
      <c r="B9" s="1"/>
      <c r="C9" s="1"/>
      <c r="D9" s="1"/>
      <c r="E9" s="1"/>
      <c r="F9" s="1"/>
      <c r="G9" s="1"/>
      <c r="H9" s="1"/>
    </row>
    <row r="10" spans="1:8" x14ac:dyDescent="0.3">
      <c r="A10" s="1">
        <v>31</v>
      </c>
      <c r="B10" s="1"/>
      <c r="C10" s="1"/>
      <c r="D10" s="1"/>
      <c r="E10" s="1"/>
      <c r="F10" s="1"/>
      <c r="G10" s="1"/>
      <c r="H10" s="1"/>
    </row>
    <row r="11" spans="1:8" x14ac:dyDescent="0.3">
      <c r="A11" s="1">
        <v>30</v>
      </c>
      <c r="B11" s="1"/>
      <c r="C11" s="1"/>
      <c r="D11" s="1"/>
      <c r="E11" s="1"/>
      <c r="F11" s="1"/>
      <c r="G11" s="1"/>
      <c r="H11" s="1"/>
    </row>
    <row r="12" spans="1:8" x14ac:dyDescent="0.3">
      <c r="A12" s="1">
        <v>33</v>
      </c>
      <c r="B12" s="1"/>
      <c r="C12" s="1"/>
      <c r="D12" s="1"/>
      <c r="E12" s="1"/>
      <c r="F12" s="1"/>
      <c r="G12" s="1"/>
      <c r="H12" s="1"/>
    </row>
    <row r="13" spans="1:8" x14ac:dyDescent="0.3">
      <c r="A13" s="1">
        <v>26</v>
      </c>
      <c r="B13" s="1"/>
      <c r="C13" s="1"/>
      <c r="D13" s="1"/>
      <c r="E13" s="1"/>
      <c r="F13" s="1"/>
      <c r="G13" s="1"/>
      <c r="H13" s="1"/>
    </row>
    <row r="14" spans="1:8" x14ac:dyDescent="0.3">
      <c r="A14" s="1">
        <v>34</v>
      </c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3" t="s">
        <v>3</v>
      </c>
      <c r="B16" s="4">
        <f>AVERAGE(A5:A14)</f>
        <v>30.5</v>
      </c>
      <c r="C16" s="1"/>
      <c r="D16" s="1"/>
      <c r="E16" s="1"/>
      <c r="F16" s="1"/>
      <c r="G16" s="1"/>
      <c r="H16" s="1"/>
    </row>
    <row r="17" spans="1:8" x14ac:dyDescent="0.3">
      <c r="A17" s="3" t="s">
        <v>4</v>
      </c>
      <c r="B17" s="4">
        <f>_xlfn.STDEV.S(A5:A14)</f>
        <v>3.0276503540974917</v>
      </c>
      <c r="C17" s="1"/>
      <c r="D17" s="1"/>
      <c r="E17" s="1"/>
      <c r="F17" s="1"/>
      <c r="G17" s="1"/>
      <c r="H17" s="1"/>
    </row>
    <row r="18" spans="1:8" x14ac:dyDescent="0.3">
      <c r="A18" s="3" t="s">
        <v>5</v>
      </c>
      <c r="B18" s="1">
        <v>30</v>
      </c>
      <c r="C18" s="1"/>
      <c r="D18" s="1"/>
      <c r="E18" s="1"/>
      <c r="F18" s="1"/>
      <c r="G18" s="1"/>
      <c r="H18" s="1"/>
    </row>
    <row r="19" spans="1:8" x14ac:dyDescent="0.3">
      <c r="A19" s="3" t="s">
        <v>6</v>
      </c>
      <c r="B19" s="4">
        <f>(B16-B18)/(B17/SQRT(COUNT(A5:A14)))</f>
        <v>0.5222329678670935</v>
      </c>
      <c r="C19" s="1"/>
      <c r="D19" s="1"/>
      <c r="E19" s="1"/>
      <c r="F19" s="1"/>
      <c r="G19" s="1"/>
      <c r="H19" s="1"/>
    </row>
    <row r="20" spans="1:8" x14ac:dyDescent="0.3">
      <c r="A20" s="3" t="s">
        <v>7</v>
      </c>
      <c r="B20" s="4">
        <f>_xlfn.T.DIST.2T(ABS(B19),COUNT(A5:A14)-1)</f>
        <v>0.61411725480839396</v>
      </c>
      <c r="C20" s="1"/>
      <c r="D20" s="1"/>
      <c r="E20" s="1"/>
      <c r="F20" s="1"/>
      <c r="G20" s="1"/>
      <c r="H20" s="1"/>
    </row>
    <row r="21" spans="1:8" ht="28.8" x14ac:dyDescent="0.3">
      <c r="A21" s="3" t="s">
        <v>8</v>
      </c>
      <c r="B21" s="5" t="s">
        <v>9</v>
      </c>
      <c r="C21" s="1"/>
      <c r="D21" s="1"/>
      <c r="E21" s="1"/>
      <c r="F21" s="1"/>
      <c r="G21" s="1"/>
      <c r="H21" s="1"/>
    </row>
    <row r="22" spans="1:8" x14ac:dyDescent="0.3">
      <c r="A22" s="3" t="s">
        <v>10</v>
      </c>
      <c r="B22" s="7" t="s">
        <v>11</v>
      </c>
      <c r="C22" s="7"/>
      <c r="D22" s="7"/>
      <c r="E22" s="7"/>
      <c r="F22" s="7"/>
      <c r="G22" s="7"/>
      <c r="H22" s="7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6" t="s">
        <v>12</v>
      </c>
      <c r="B25" s="7"/>
      <c r="C25" s="7"/>
      <c r="D25" s="7"/>
      <c r="E25" s="7"/>
      <c r="F25" s="7"/>
      <c r="G25" s="7"/>
      <c r="H25" s="7"/>
    </row>
    <row r="26" spans="1:8" x14ac:dyDescent="0.3">
      <c r="A26" s="2" t="s">
        <v>13</v>
      </c>
      <c r="B26" s="2" t="s">
        <v>14</v>
      </c>
      <c r="C26" s="1"/>
      <c r="D26" s="1"/>
      <c r="E26" s="1"/>
      <c r="F26" s="1"/>
      <c r="G26" s="1"/>
      <c r="H26" s="1"/>
    </row>
    <row r="27" spans="1:8" x14ac:dyDescent="0.3">
      <c r="A27" s="1">
        <v>5200</v>
      </c>
      <c r="B27" s="1">
        <v>6100</v>
      </c>
      <c r="C27" s="1"/>
      <c r="D27" s="1"/>
      <c r="E27" s="1"/>
      <c r="F27" s="1"/>
      <c r="G27" s="1"/>
      <c r="H27" s="1"/>
    </row>
    <row r="28" spans="1:8" x14ac:dyDescent="0.3">
      <c r="A28" s="1">
        <v>6100</v>
      </c>
      <c r="B28" s="1">
        <v>6900</v>
      </c>
      <c r="C28" s="1"/>
      <c r="D28" s="1"/>
      <c r="E28" s="1"/>
      <c r="F28" s="1"/>
      <c r="G28" s="1"/>
      <c r="H28" s="1"/>
    </row>
    <row r="29" spans="1:8" x14ac:dyDescent="0.3">
      <c r="A29" s="1">
        <v>5800</v>
      </c>
      <c r="B29" s="1">
        <v>6400</v>
      </c>
      <c r="C29" s="1"/>
      <c r="D29" s="1"/>
      <c r="E29" s="1"/>
      <c r="F29" s="1"/>
      <c r="G29" s="1"/>
      <c r="H29" s="1"/>
    </row>
    <row r="30" spans="1:8" x14ac:dyDescent="0.3">
      <c r="A30" s="1">
        <v>4900</v>
      </c>
      <c r="B30" s="1">
        <v>5900</v>
      </c>
      <c r="C30" s="1"/>
      <c r="D30" s="1"/>
      <c r="E30" s="1"/>
      <c r="F30" s="1"/>
      <c r="G30" s="1"/>
      <c r="H30" s="1"/>
    </row>
    <row r="31" spans="1:8" x14ac:dyDescent="0.3">
      <c r="A31" s="1">
        <v>6500</v>
      </c>
      <c r="B31" s="1">
        <v>7200</v>
      </c>
      <c r="C31" s="1"/>
      <c r="D31" s="1"/>
      <c r="E31" s="1"/>
      <c r="F31" s="1"/>
      <c r="G31" s="1"/>
      <c r="H31" s="1"/>
    </row>
    <row r="32" spans="1:8" x14ac:dyDescent="0.3">
      <c r="A32" s="1">
        <v>5600</v>
      </c>
      <c r="B32" s="1">
        <v>6500</v>
      </c>
      <c r="C32" s="1"/>
      <c r="D32" s="1"/>
      <c r="E32" s="1"/>
      <c r="F32" s="1"/>
      <c r="G32" s="1"/>
      <c r="H32" s="1"/>
    </row>
    <row r="33" spans="1:8" x14ac:dyDescent="0.3">
      <c r="A33" s="1">
        <v>6200</v>
      </c>
      <c r="B33" s="1">
        <v>7100</v>
      </c>
      <c r="C33" s="1"/>
      <c r="D33" s="1"/>
      <c r="E33" s="1"/>
      <c r="F33" s="1"/>
      <c r="G33" s="1"/>
      <c r="H33" s="1"/>
    </row>
    <row r="34" spans="1:8" x14ac:dyDescent="0.3">
      <c r="A34" s="1">
        <v>5300</v>
      </c>
      <c r="B34" s="1">
        <v>6300</v>
      </c>
      <c r="C34" s="1"/>
      <c r="D34" s="1"/>
      <c r="E34" s="1"/>
      <c r="F34" s="1"/>
      <c r="G34" s="1"/>
      <c r="H34" s="1"/>
    </row>
    <row r="35" spans="1:8" x14ac:dyDescent="0.3">
      <c r="A35" s="1">
        <v>5700</v>
      </c>
      <c r="B35" s="1">
        <v>6800</v>
      </c>
      <c r="C35" s="1"/>
      <c r="D35" s="1"/>
      <c r="E35" s="1"/>
      <c r="F35" s="1"/>
      <c r="G35" s="1"/>
      <c r="H35" s="1"/>
    </row>
    <row r="36" spans="1:8" x14ac:dyDescent="0.3">
      <c r="A36" s="1">
        <v>6000</v>
      </c>
      <c r="B36" s="1">
        <v>7000</v>
      </c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3" t="s">
        <v>15</v>
      </c>
      <c r="B38" s="4">
        <f>AVERAGE(A30:A39)</f>
        <v>5742.8571428571431</v>
      </c>
      <c r="C38" s="1"/>
      <c r="D38" s="1"/>
      <c r="E38" s="1"/>
      <c r="F38" s="1"/>
      <c r="G38" s="1"/>
      <c r="H38" s="1"/>
    </row>
    <row r="39" spans="1:8" x14ac:dyDescent="0.3">
      <c r="A39" s="3" t="s">
        <v>16</v>
      </c>
      <c r="B39" s="4" t="str">
        <f ca="1">AVERAGE(B30:B39)</f>
        <v/>
      </c>
      <c r="C39" s="1"/>
      <c r="D39" s="1"/>
      <c r="E39" s="1"/>
      <c r="F39" s="1"/>
      <c r="G39" s="1"/>
      <c r="H39" s="1"/>
    </row>
    <row r="40" spans="1:8" x14ac:dyDescent="0.3">
      <c r="A40" s="3" t="s">
        <v>17</v>
      </c>
      <c r="B40" s="4" t="e">
        <f ca="1">_xludf.STDEV.S(A30:A39)</f>
        <v>#NAME?</v>
      </c>
      <c r="C40" s="1"/>
      <c r="D40" s="1"/>
      <c r="E40" s="1"/>
      <c r="F40" s="1"/>
      <c r="G40" s="1"/>
      <c r="H40" s="1"/>
    </row>
    <row r="41" spans="1:8" x14ac:dyDescent="0.3">
      <c r="A41" s="3" t="s">
        <v>18</v>
      </c>
      <c r="B41" s="4" t="e">
        <f ca="1">_xludf.STDEV.S(B30:B39)</f>
        <v>#NAME?</v>
      </c>
      <c r="C41" s="1"/>
      <c r="D41" s="1"/>
      <c r="E41" s="1"/>
      <c r="F41" s="1"/>
      <c r="G41" s="1"/>
      <c r="H41" s="1"/>
    </row>
    <row r="42" spans="1:8" ht="28.8" x14ac:dyDescent="0.3">
      <c r="A42" s="3" t="s">
        <v>19</v>
      </c>
      <c r="B42" s="4" t="e">
        <f ca="1">_xludf.T.TEST(A30:A39,B30:B39,2,2)</f>
        <v>#NAME?</v>
      </c>
      <c r="C42" s="1"/>
      <c r="D42" s="1"/>
      <c r="E42" s="1"/>
      <c r="F42" s="1"/>
      <c r="G42" s="1"/>
      <c r="H42" s="1"/>
    </row>
    <row r="43" spans="1:8" x14ac:dyDescent="0.3">
      <c r="A43" s="3" t="s">
        <v>20</v>
      </c>
      <c r="B43" s="4" t="str">
        <f ca="1">(B41-B40)/SQRT(((COUNT(A30:A39)-1)*B42^2+(COUNT(B30:B39)-1)*B43^2)/(COUNT(A30:A39)+COUNT(B30:B39)-2)*(1/COUNT(A30:A39)+1/COUNT(B30:B39)))</f>
        <v/>
      </c>
      <c r="C43" s="1"/>
      <c r="D43" s="1"/>
      <c r="E43" s="1"/>
      <c r="F43" s="1"/>
      <c r="G43" s="1"/>
      <c r="H43" s="1"/>
    </row>
    <row r="44" spans="1:8" ht="28.8" x14ac:dyDescent="0.3">
      <c r="A44" s="3" t="s">
        <v>8</v>
      </c>
      <c r="B44" s="5" t="s">
        <v>21</v>
      </c>
      <c r="C44" s="1"/>
      <c r="D44" s="1"/>
      <c r="E44" s="1"/>
      <c r="F44" s="1"/>
      <c r="G44" s="1"/>
      <c r="H44" s="1"/>
    </row>
    <row r="45" spans="1:8" x14ac:dyDescent="0.3">
      <c r="A45" s="3" t="s">
        <v>10</v>
      </c>
      <c r="B45" s="7" t="s">
        <v>22</v>
      </c>
      <c r="C45" s="7"/>
      <c r="D45" s="7"/>
      <c r="E45" s="7"/>
      <c r="F45" s="7"/>
      <c r="G45" s="7"/>
      <c r="H45" s="7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6" t="s">
        <v>23</v>
      </c>
      <c r="B48" s="7"/>
      <c r="C48" s="7"/>
      <c r="D48" s="7"/>
      <c r="E48" s="7"/>
      <c r="F48" s="7"/>
      <c r="G48" s="7"/>
      <c r="H48" s="7"/>
    </row>
    <row r="49" spans="1:8" x14ac:dyDescent="0.3">
      <c r="A49" s="2" t="s">
        <v>24</v>
      </c>
      <c r="B49" s="2" t="s">
        <v>25</v>
      </c>
      <c r="C49" s="1"/>
      <c r="D49" s="1"/>
      <c r="E49" s="1"/>
      <c r="F49" s="1"/>
      <c r="G49" s="1"/>
      <c r="H49" s="1"/>
    </row>
    <row r="50" spans="1:8" x14ac:dyDescent="0.3">
      <c r="A50" s="1">
        <v>5.2</v>
      </c>
      <c r="B50" s="1">
        <v>4.5</v>
      </c>
      <c r="C50" s="4">
        <f t="shared" ref="C50:C59" si="0">A50-B50</f>
        <v>0.70000000000000018</v>
      </c>
      <c r="D50" s="1"/>
      <c r="E50" s="1"/>
      <c r="F50" s="1"/>
      <c r="G50" s="1"/>
      <c r="H50" s="1"/>
    </row>
    <row r="51" spans="1:8" x14ac:dyDescent="0.3">
      <c r="A51" s="1">
        <v>4.8</v>
      </c>
      <c r="B51" s="1">
        <v>4.2</v>
      </c>
      <c r="C51" s="4">
        <f t="shared" si="0"/>
        <v>0.59999999999999964</v>
      </c>
      <c r="D51" s="1"/>
      <c r="E51" s="1"/>
      <c r="F51" s="1"/>
      <c r="G51" s="1"/>
      <c r="H51" s="1"/>
    </row>
    <row r="52" spans="1:8" x14ac:dyDescent="0.3">
      <c r="A52" s="1">
        <v>6.1</v>
      </c>
      <c r="B52" s="1">
        <v>5.4</v>
      </c>
      <c r="C52" s="4">
        <f t="shared" si="0"/>
        <v>0.69999999999999929</v>
      </c>
      <c r="D52" s="1"/>
      <c r="E52" s="1"/>
      <c r="F52" s="1"/>
      <c r="G52" s="1"/>
      <c r="H52" s="1"/>
    </row>
    <row r="53" spans="1:8" x14ac:dyDescent="0.3">
      <c r="A53" s="1">
        <v>5.5</v>
      </c>
      <c r="B53" s="1">
        <v>4.8</v>
      </c>
      <c r="C53" s="4">
        <f t="shared" si="0"/>
        <v>0.70000000000000018</v>
      </c>
      <c r="D53" s="1"/>
      <c r="E53" s="1"/>
      <c r="F53" s="1"/>
      <c r="G53" s="1"/>
      <c r="H53" s="1"/>
    </row>
    <row r="54" spans="1:8" x14ac:dyDescent="0.3">
      <c r="A54" s="1">
        <v>4.9000000000000004</v>
      </c>
      <c r="B54" s="1">
        <v>4.0999999999999996</v>
      </c>
      <c r="C54" s="4">
        <f t="shared" si="0"/>
        <v>0.80000000000000071</v>
      </c>
      <c r="D54" s="1"/>
      <c r="E54" s="1"/>
      <c r="F54" s="1"/>
      <c r="G54" s="1"/>
      <c r="H54" s="1"/>
    </row>
    <row r="55" spans="1:8" x14ac:dyDescent="0.3">
      <c r="A55" s="1">
        <v>6.3</v>
      </c>
      <c r="B55" s="1">
        <v>5.5</v>
      </c>
      <c r="C55" s="4">
        <f t="shared" si="0"/>
        <v>0.79999999999999982</v>
      </c>
      <c r="D55" s="1"/>
      <c r="E55" s="1"/>
      <c r="F55" s="1"/>
      <c r="G55" s="1"/>
      <c r="H55" s="1"/>
    </row>
    <row r="56" spans="1:8" x14ac:dyDescent="0.3">
      <c r="A56" s="1">
        <v>5.7</v>
      </c>
      <c r="B56" s="1">
        <v>4.9000000000000004</v>
      </c>
      <c r="C56" s="4">
        <f t="shared" si="0"/>
        <v>0.79999999999999982</v>
      </c>
      <c r="D56" s="1"/>
      <c r="E56" s="1"/>
      <c r="F56" s="1"/>
      <c r="G56" s="1"/>
      <c r="H56" s="1"/>
    </row>
    <row r="57" spans="1:8" x14ac:dyDescent="0.3">
      <c r="A57" s="1">
        <v>5</v>
      </c>
      <c r="B57" s="1">
        <v>4.3</v>
      </c>
      <c r="C57" s="4">
        <f t="shared" si="0"/>
        <v>0.70000000000000018</v>
      </c>
      <c r="D57" s="1"/>
      <c r="E57" s="1"/>
      <c r="F57" s="1"/>
      <c r="G57" s="1"/>
      <c r="H57" s="1"/>
    </row>
    <row r="58" spans="1:8" x14ac:dyDescent="0.3">
      <c r="A58" s="1">
        <v>6</v>
      </c>
      <c r="B58" s="1">
        <v>5.0999999999999996</v>
      </c>
      <c r="C58" s="4">
        <f t="shared" si="0"/>
        <v>0.90000000000000036</v>
      </c>
      <c r="D58" s="1"/>
      <c r="E58" s="1"/>
      <c r="F58" s="1"/>
      <c r="G58" s="1"/>
      <c r="H58" s="1"/>
    </row>
    <row r="59" spans="1:8" x14ac:dyDescent="0.3">
      <c r="A59" s="1">
        <v>5.4</v>
      </c>
      <c r="B59" s="1">
        <v>4.7</v>
      </c>
      <c r="C59" s="4">
        <f t="shared" si="0"/>
        <v>0.70000000000000018</v>
      </c>
      <c r="D59" s="1"/>
      <c r="E59" s="1"/>
      <c r="F59" s="1"/>
      <c r="G59" s="1"/>
      <c r="H59" s="1"/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x14ac:dyDescent="0.3">
      <c r="A61" s="3" t="s">
        <v>15</v>
      </c>
      <c r="B61" s="4">
        <f>AVERAGE(A56:A65)</f>
        <v>5.5250000000000004</v>
      </c>
      <c r="C61" s="1"/>
      <c r="D61" s="1"/>
      <c r="E61" s="1"/>
      <c r="F61" s="1"/>
      <c r="G61" s="1"/>
      <c r="H61" s="1"/>
    </row>
    <row r="62" spans="1:8" x14ac:dyDescent="0.3">
      <c r="A62" s="3" t="s">
        <v>16</v>
      </c>
      <c r="B62" s="4" t="str">
        <f ca="1">AVERAGE(B56:B65)</f>
        <v/>
      </c>
      <c r="C62" s="1"/>
      <c r="D62" s="1"/>
      <c r="E62" s="1"/>
      <c r="F62" s="1"/>
      <c r="G62" s="1"/>
      <c r="H62" s="1"/>
    </row>
    <row r="63" spans="1:8" x14ac:dyDescent="0.3">
      <c r="A63" s="3" t="s">
        <v>26</v>
      </c>
      <c r="B63" s="4">
        <f>AVERAGE(C50:C59)</f>
        <v>0.74</v>
      </c>
      <c r="C63" s="1"/>
      <c r="D63" s="1"/>
      <c r="E63" s="1"/>
      <c r="F63" s="1"/>
      <c r="G63" s="1"/>
      <c r="H63" s="1"/>
    </row>
    <row r="64" spans="1:8" x14ac:dyDescent="0.3">
      <c r="A64" s="3" t="s">
        <v>27</v>
      </c>
      <c r="B64" s="4" t="e">
        <f ca="1">B63/(_xludf.STDEV.S(C50:C59)/SQRT(COUNT(C50:C59)))</f>
        <v>#NAME?</v>
      </c>
      <c r="C64" s="1"/>
      <c r="D64" s="1"/>
      <c r="E64" s="1"/>
      <c r="F64" s="1"/>
      <c r="G64" s="1"/>
      <c r="H64" s="1"/>
    </row>
    <row r="65" spans="1:8" x14ac:dyDescent="0.3">
      <c r="A65" s="3" t="s">
        <v>7</v>
      </c>
      <c r="B65" s="4" t="e">
        <f ca="1">_xludf.T.DIST.2T(ABS(B64),COUNT(C50:C59)-1)</f>
        <v>#NAME?</v>
      </c>
      <c r="C65" s="1"/>
      <c r="D65" s="1"/>
      <c r="E65" s="1"/>
      <c r="F65" s="1"/>
      <c r="G65" s="1"/>
      <c r="H65" s="1"/>
    </row>
    <row r="66" spans="1:8" ht="28.8" x14ac:dyDescent="0.3">
      <c r="A66" s="3" t="s">
        <v>8</v>
      </c>
      <c r="B66" s="5" t="s">
        <v>28</v>
      </c>
      <c r="C66" s="1"/>
      <c r="D66" s="1"/>
      <c r="E66" s="1"/>
      <c r="F66" s="1"/>
      <c r="G66" s="1"/>
      <c r="H66" s="1"/>
    </row>
    <row r="67" spans="1:8" x14ac:dyDescent="0.3">
      <c r="A67" s="3" t="s">
        <v>10</v>
      </c>
      <c r="B67" s="7" t="s">
        <v>29</v>
      </c>
      <c r="C67" s="7"/>
      <c r="D67" s="7"/>
      <c r="E67" s="7"/>
      <c r="F67" s="7"/>
      <c r="G67" s="7"/>
      <c r="H67" s="7"/>
    </row>
    <row r="68" spans="1:8" x14ac:dyDescent="0.3">
      <c r="A68" s="1"/>
      <c r="B68" s="1"/>
      <c r="C68" s="1"/>
      <c r="D68" s="1"/>
      <c r="E68" s="1"/>
      <c r="F68" s="1"/>
      <c r="G68" s="1"/>
      <c r="H68" s="1"/>
    </row>
    <row r="69" spans="1:8" x14ac:dyDescent="0.3">
      <c r="A69" s="1"/>
      <c r="B69" s="1"/>
      <c r="C69" s="1"/>
      <c r="D69" s="1"/>
      <c r="E69" s="1"/>
      <c r="F69" s="1"/>
      <c r="G69" s="1"/>
      <c r="H69" s="1"/>
    </row>
    <row r="70" spans="1:8" x14ac:dyDescent="0.3">
      <c r="A70" s="6" t="s">
        <v>30</v>
      </c>
      <c r="B70" s="7"/>
      <c r="C70" s="7"/>
      <c r="D70" s="7"/>
      <c r="E70" s="7"/>
      <c r="F70" s="7"/>
      <c r="G70" s="7"/>
      <c r="H70" s="7"/>
    </row>
    <row r="71" spans="1:8" x14ac:dyDescent="0.3">
      <c r="A71" s="2" t="s">
        <v>31</v>
      </c>
      <c r="B71" s="2" t="s">
        <v>32</v>
      </c>
      <c r="C71" s="1"/>
      <c r="D71" s="1"/>
      <c r="E71" s="1"/>
      <c r="F71" s="1"/>
      <c r="G71" s="1"/>
      <c r="H71" s="1"/>
    </row>
    <row r="72" spans="1:8" x14ac:dyDescent="0.3">
      <c r="A72" s="1">
        <v>4.0999999999999996</v>
      </c>
      <c r="B72" s="1">
        <v>4</v>
      </c>
      <c r="C72" s="1"/>
      <c r="D72" s="1"/>
      <c r="E72" s="1"/>
      <c r="F72" s="1"/>
      <c r="G72" s="1"/>
      <c r="H72" s="1"/>
    </row>
    <row r="73" spans="1:8" x14ac:dyDescent="0.3">
      <c r="A73" s="1">
        <v>3.8</v>
      </c>
      <c r="B73" s="1">
        <v>3.6</v>
      </c>
      <c r="C73" s="1"/>
      <c r="D73" s="1"/>
      <c r="E73" s="1"/>
      <c r="F73" s="1"/>
      <c r="G73" s="1"/>
      <c r="H73" s="1"/>
    </row>
    <row r="74" spans="1:8" x14ac:dyDescent="0.3">
      <c r="A74" s="1">
        <v>4.3</v>
      </c>
      <c r="B74" s="1">
        <v>4.0999999999999996</v>
      </c>
      <c r="C74" s="1"/>
      <c r="D74" s="1"/>
      <c r="E74" s="1"/>
      <c r="F74" s="1"/>
      <c r="G74" s="1"/>
      <c r="H74" s="1"/>
    </row>
    <row r="75" spans="1:8" x14ac:dyDescent="0.3">
      <c r="A75" s="1">
        <v>4</v>
      </c>
      <c r="B75" s="1">
        <v>3.9</v>
      </c>
      <c r="C75" s="1"/>
      <c r="D75" s="1"/>
      <c r="E75" s="1"/>
      <c r="F75" s="1"/>
      <c r="G75" s="1"/>
      <c r="H75" s="1"/>
    </row>
    <row r="76" spans="1:8" x14ac:dyDescent="0.3">
      <c r="A76" s="1">
        <v>4.5</v>
      </c>
      <c r="B76" s="1">
        <v>4.2</v>
      </c>
      <c r="C76" s="1"/>
      <c r="D76" s="1"/>
      <c r="E76" s="1"/>
      <c r="F76" s="1"/>
      <c r="G76" s="1"/>
      <c r="H76" s="1"/>
    </row>
    <row r="77" spans="1:8" x14ac:dyDescent="0.3">
      <c r="A77" s="1">
        <v>3.9</v>
      </c>
      <c r="B77" s="1">
        <v>3.8</v>
      </c>
      <c r="C77" s="1"/>
      <c r="D77" s="1"/>
      <c r="E77" s="1"/>
      <c r="F77" s="1"/>
      <c r="G77" s="1"/>
      <c r="H77" s="1"/>
    </row>
    <row r="78" spans="1:8" x14ac:dyDescent="0.3">
      <c r="A78" s="1">
        <v>4.2</v>
      </c>
      <c r="B78" s="1">
        <v>4</v>
      </c>
      <c r="C78" s="1"/>
      <c r="D78" s="1"/>
      <c r="E78" s="1"/>
      <c r="F78" s="1"/>
      <c r="G78" s="1"/>
      <c r="H78" s="1"/>
    </row>
    <row r="79" spans="1:8" x14ac:dyDescent="0.3">
      <c r="A79" s="1">
        <v>4.4000000000000004</v>
      </c>
      <c r="B79" s="1">
        <v>4.3</v>
      </c>
      <c r="C79" s="1"/>
      <c r="D79" s="1"/>
      <c r="E79" s="1"/>
      <c r="F79" s="1"/>
      <c r="G79" s="1"/>
      <c r="H79" s="1"/>
    </row>
    <row r="80" spans="1:8" x14ac:dyDescent="0.3">
      <c r="A80" s="1">
        <v>3.7</v>
      </c>
      <c r="B80" s="1">
        <v>3.5</v>
      </c>
      <c r="C80" s="1"/>
      <c r="D80" s="1"/>
      <c r="E80" s="1"/>
      <c r="F80" s="1"/>
      <c r="G80" s="1"/>
      <c r="H80" s="1"/>
    </row>
    <row r="81" spans="1:8" x14ac:dyDescent="0.3">
      <c r="A81" s="1">
        <v>4.0999999999999996</v>
      </c>
      <c r="B81" s="1">
        <v>3.9</v>
      </c>
      <c r="C81" s="1"/>
      <c r="D81" s="1"/>
      <c r="E81" s="1"/>
      <c r="F81" s="1"/>
      <c r="G81" s="1"/>
      <c r="H81" s="1"/>
    </row>
    <row r="82" spans="1:8" x14ac:dyDescent="0.3">
      <c r="A82" s="1">
        <v>4</v>
      </c>
      <c r="B82" s="1">
        <v>4.0999999999999996</v>
      </c>
      <c r="C82" s="1"/>
      <c r="D82" s="1"/>
      <c r="E82" s="1"/>
      <c r="F82" s="1"/>
      <c r="G82" s="1"/>
      <c r="H82" s="1"/>
    </row>
    <row r="83" spans="1:8" x14ac:dyDescent="0.3">
      <c r="A83" s="1">
        <v>4.3</v>
      </c>
      <c r="B83" s="1">
        <v>4</v>
      </c>
      <c r="C83" s="1"/>
      <c r="D83" s="1"/>
      <c r="E83" s="1"/>
      <c r="F83" s="1"/>
      <c r="G83" s="1"/>
      <c r="H83" s="1"/>
    </row>
    <row r="84" spans="1:8" x14ac:dyDescent="0.3">
      <c r="A84" s="1">
        <v>3.9</v>
      </c>
      <c r="B84" s="1">
        <v>3.7</v>
      </c>
      <c r="C84" s="1"/>
      <c r="D84" s="1"/>
      <c r="E84" s="1"/>
      <c r="F84" s="1"/>
      <c r="G84" s="1"/>
      <c r="H84" s="1"/>
    </row>
    <row r="85" spans="1:8" x14ac:dyDescent="0.3">
      <c r="A85" s="1">
        <v>4.2</v>
      </c>
      <c r="B85" s="1">
        <v>4.0999999999999996</v>
      </c>
      <c r="C85" s="1"/>
      <c r="D85" s="1"/>
      <c r="E85" s="1"/>
      <c r="F85" s="1"/>
      <c r="G85" s="1"/>
      <c r="H85" s="1"/>
    </row>
    <row r="86" spans="1:8" x14ac:dyDescent="0.3">
      <c r="A86" s="1">
        <v>4.0999999999999996</v>
      </c>
      <c r="B86" s="1">
        <v>3.9</v>
      </c>
      <c r="C86" s="1"/>
      <c r="D86" s="1"/>
      <c r="E86" s="1"/>
      <c r="F86" s="1"/>
      <c r="G86" s="1"/>
      <c r="H86" s="1"/>
    </row>
    <row r="87" spans="1:8" x14ac:dyDescent="0.3">
      <c r="A87" s="1"/>
      <c r="B87" s="1"/>
      <c r="C87" s="1"/>
      <c r="D87" s="1"/>
      <c r="E87" s="1"/>
      <c r="F87" s="1"/>
      <c r="G87" s="1"/>
      <c r="H87" s="1"/>
    </row>
    <row r="88" spans="1:8" x14ac:dyDescent="0.3">
      <c r="A88" s="3" t="s">
        <v>33</v>
      </c>
      <c r="B88" s="4">
        <f>AVERAGE(A85:A99)</f>
        <v>4.0600000000000005</v>
      </c>
      <c r="C88" s="1"/>
      <c r="D88" s="1"/>
      <c r="E88" s="1"/>
      <c r="F88" s="1"/>
      <c r="G88" s="1"/>
      <c r="H88" s="1"/>
    </row>
    <row r="89" spans="1:8" x14ac:dyDescent="0.3">
      <c r="A89" s="3" t="s">
        <v>34</v>
      </c>
      <c r="B89" s="4" t="str">
        <f ca="1">AVERAGE(B85:B99)</f>
        <v/>
      </c>
      <c r="C89" s="1"/>
      <c r="D89" s="1"/>
      <c r="E89" s="1"/>
      <c r="F89" s="1"/>
      <c r="G89" s="1"/>
      <c r="H89" s="1"/>
    </row>
    <row r="90" spans="1:8" ht="28.8" x14ac:dyDescent="0.3">
      <c r="A90" s="3" t="s">
        <v>19</v>
      </c>
      <c r="B90" s="4" t="e">
        <f ca="1">_xludf.T.TEST(A85:A99,B85:B99,2,2)</f>
        <v>#NAME?</v>
      </c>
      <c r="C90" s="1"/>
      <c r="D90" s="1"/>
      <c r="E90" s="1"/>
      <c r="F90" s="1"/>
      <c r="G90" s="1"/>
      <c r="H90" s="1"/>
    </row>
    <row r="91" spans="1:8" ht="28.8" x14ac:dyDescent="0.3">
      <c r="A91" s="3" t="s">
        <v>8</v>
      </c>
      <c r="B91" s="5" t="s">
        <v>35</v>
      </c>
      <c r="C91" s="1"/>
      <c r="D91" s="1"/>
      <c r="E91" s="1"/>
      <c r="F91" s="1"/>
      <c r="G91" s="1"/>
      <c r="H91" s="1"/>
    </row>
    <row r="92" spans="1:8" x14ac:dyDescent="0.3">
      <c r="A92" s="3" t="s">
        <v>10</v>
      </c>
      <c r="B92" s="7" t="s">
        <v>36</v>
      </c>
      <c r="C92" s="7"/>
      <c r="D92" s="7"/>
      <c r="E92" s="7"/>
      <c r="F92" s="7"/>
      <c r="G92" s="7"/>
      <c r="H92" s="7"/>
    </row>
    <row r="93" spans="1:8" x14ac:dyDescent="0.3">
      <c r="A93" s="1"/>
      <c r="B93" s="1"/>
      <c r="C93" s="1"/>
      <c r="D93" s="1"/>
      <c r="E93" s="1"/>
      <c r="F93" s="1"/>
      <c r="G93" s="1"/>
      <c r="H93" s="1"/>
    </row>
    <row r="94" spans="1:8" x14ac:dyDescent="0.3">
      <c r="A94" s="1"/>
      <c r="B94" s="1"/>
      <c r="C94" s="1"/>
      <c r="D94" s="1"/>
      <c r="E94" s="1"/>
      <c r="F94" s="1"/>
      <c r="G94" s="1"/>
      <c r="H94" s="1"/>
    </row>
    <row r="95" spans="1:8" x14ac:dyDescent="0.3">
      <c r="A95" s="6" t="s">
        <v>37</v>
      </c>
      <c r="B95" s="7"/>
      <c r="C95" s="7"/>
      <c r="D95" s="7"/>
      <c r="E95" s="7"/>
      <c r="F95" s="7"/>
      <c r="G95" s="7"/>
      <c r="H95" s="7"/>
    </row>
    <row r="96" spans="1:8" x14ac:dyDescent="0.3">
      <c r="A96" s="2" t="s">
        <v>38</v>
      </c>
      <c r="B96" s="1"/>
      <c r="C96" s="1"/>
      <c r="D96" s="1"/>
      <c r="E96" s="1"/>
      <c r="F96" s="1"/>
      <c r="G96" s="1"/>
      <c r="H96" s="1"/>
    </row>
    <row r="97" spans="1:8" x14ac:dyDescent="0.3">
      <c r="A97" s="1">
        <v>3</v>
      </c>
      <c r="B97" s="1"/>
      <c r="C97" s="1"/>
      <c r="D97" s="1"/>
      <c r="E97" s="1"/>
      <c r="F97" s="1"/>
      <c r="G97" s="1"/>
      <c r="H97" s="1"/>
    </row>
    <row r="98" spans="1:8" x14ac:dyDescent="0.3">
      <c r="A98" s="1">
        <v>5</v>
      </c>
      <c r="B98" s="1"/>
      <c r="C98" s="1"/>
      <c r="D98" s="1"/>
      <c r="E98" s="1"/>
      <c r="F98" s="1"/>
      <c r="G98" s="1"/>
      <c r="H98" s="1"/>
    </row>
    <row r="99" spans="1:8" x14ac:dyDescent="0.3">
      <c r="A99" s="1">
        <v>4</v>
      </c>
      <c r="B99" s="1"/>
      <c r="C99" s="1"/>
      <c r="D99" s="1"/>
      <c r="E99" s="1"/>
      <c r="F99" s="1"/>
      <c r="G99" s="1"/>
      <c r="H99" s="1"/>
    </row>
    <row r="100" spans="1:8" x14ac:dyDescent="0.3">
      <c r="A100" s="1">
        <v>6</v>
      </c>
      <c r="B100" s="1"/>
      <c r="C100" s="1"/>
      <c r="D100" s="1"/>
      <c r="E100" s="1"/>
      <c r="F100" s="1"/>
      <c r="G100" s="1"/>
      <c r="H100" s="1"/>
    </row>
    <row r="101" spans="1:8" x14ac:dyDescent="0.3">
      <c r="A101" s="1">
        <v>2</v>
      </c>
      <c r="B101" s="1"/>
      <c r="C101" s="1"/>
      <c r="D101" s="1"/>
      <c r="E101" s="1"/>
      <c r="F101" s="1"/>
      <c r="G101" s="1"/>
      <c r="H101" s="1"/>
    </row>
    <row r="102" spans="1:8" x14ac:dyDescent="0.3">
      <c r="A102" s="1">
        <v>4</v>
      </c>
      <c r="B102" s="1"/>
      <c r="C102" s="1"/>
      <c r="D102" s="1"/>
      <c r="E102" s="1"/>
      <c r="F102" s="1"/>
      <c r="G102" s="1"/>
      <c r="H102" s="1"/>
    </row>
    <row r="103" spans="1:8" x14ac:dyDescent="0.3">
      <c r="A103" s="1">
        <v>5</v>
      </c>
      <c r="B103" s="1"/>
      <c r="C103" s="1"/>
      <c r="D103" s="1"/>
      <c r="E103" s="1"/>
      <c r="F103" s="1"/>
      <c r="G103" s="1"/>
      <c r="H103" s="1"/>
    </row>
    <row r="104" spans="1:8" x14ac:dyDescent="0.3">
      <c r="A104" s="1">
        <v>3</v>
      </c>
      <c r="B104" s="1"/>
      <c r="C104" s="1"/>
      <c r="D104" s="1"/>
      <c r="E104" s="1"/>
      <c r="F104" s="1"/>
      <c r="G104" s="1"/>
      <c r="H104" s="1"/>
    </row>
    <row r="105" spans="1:8" x14ac:dyDescent="0.3">
      <c r="A105" s="1">
        <v>7</v>
      </c>
      <c r="B105" s="1"/>
      <c r="C105" s="1"/>
      <c r="D105" s="1"/>
      <c r="E105" s="1"/>
      <c r="F105" s="1"/>
      <c r="G105" s="1"/>
      <c r="H105" s="1"/>
    </row>
    <row r="106" spans="1:8" x14ac:dyDescent="0.3">
      <c r="A106" s="1">
        <v>4</v>
      </c>
      <c r="B106" s="1"/>
      <c r="C106" s="1"/>
      <c r="D106" s="1"/>
      <c r="E106" s="1"/>
      <c r="F106" s="1"/>
      <c r="G106" s="1"/>
      <c r="H106" s="1"/>
    </row>
    <row r="107" spans="1:8" x14ac:dyDescent="0.3">
      <c r="A107" s="1"/>
      <c r="B107" s="1"/>
      <c r="C107" s="1"/>
      <c r="D107" s="1"/>
      <c r="E107" s="1"/>
      <c r="F107" s="1"/>
      <c r="G107" s="1"/>
      <c r="H107" s="1"/>
    </row>
    <row r="108" spans="1:8" x14ac:dyDescent="0.3">
      <c r="A108" s="3" t="s">
        <v>3</v>
      </c>
      <c r="B108" s="4" t="e">
        <f>AVERAGE(A115:A124)</f>
        <v>#DIV/0!</v>
      </c>
      <c r="C108" s="1"/>
      <c r="D108" s="1"/>
      <c r="E108" s="1"/>
      <c r="F108" s="1"/>
      <c r="G108" s="1"/>
      <c r="H108" s="1"/>
    </row>
    <row r="109" spans="1:8" x14ac:dyDescent="0.3">
      <c r="A109" s="3" t="s">
        <v>4</v>
      </c>
      <c r="B109" s="4" t="e">
        <f ca="1">_xludf.STDEV.S(A115:A124)</f>
        <v>#NAME?</v>
      </c>
      <c r="C109" s="1"/>
      <c r="D109" s="1"/>
      <c r="E109" s="1"/>
      <c r="F109" s="1"/>
      <c r="G109" s="1"/>
      <c r="H109" s="1"/>
    </row>
    <row r="110" spans="1:8" x14ac:dyDescent="0.3">
      <c r="A110" s="3" t="s">
        <v>5</v>
      </c>
      <c r="B110" s="1">
        <v>4</v>
      </c>
      <c r="C110" s="1"/>
      <c r="D110" s="1"/>
      <c r="E110" s="1"/>
      <c r="F110" s="1"/>
      <c r="G110" s="1"/>
      <c r="H110" s="1"/>
    </row>
    <row r="111" spans="1:8" x14ac:dyDescent="0.3">
      <c r="A111" s="3" t="s">
        <v>6</v>
      </c>
      <c r="B111" s="4" t="e">
        <f>(B126-B128)/(B127/SQRT(COUNT(A115:A124)))</f>
        <v>#DIV/0!</v>
      </c>
      <c r="C111" s="1"/>
      <c r="D111" s="1"/>
      <c r="E111" s="1"/>
      <c r="F111" s="1"/>
      <c r="G111" s="1"/>
      <c r="H111" s="1"/>
    </row>
    <row r="112" spans="1:8" x14ac:dyDescent="0.3">
      <c r="A112" s="3" t="s">
        <v>7</v>
      </c>
      <c r="B112" s="4" t="e">
        <f ca="1">_xludf.T.DIST.2T(ABS(B129),COUNT(A115:A124)-1)</f>
        <v>#NAME?</v>
      </c>
      <c r="C112" s="1"/>
      <c r="D112" s="1"/>
      <c r="E112" s="1"/>
      <c r="F112" s="1"/>
      <c r="G112" s="1"/>
      <c r="H112" s="1"/>
    </row>
    <row r="113" spans="1:8" ht="28.8" x14ac:dyDescent="0.3">
      <c r="A113" s="3" t="s">
        <v>8</v>
      </c>
      <c r="B113" s="5" t="s">
        <v>39</v>
      </c>
      <c r="C113" s="1"/>
      <c r="D113" s="1"/>
      <c r="E113" s="1"/>
      <c r="F113" s="1"/>
      <c r="G113" s="1"/>
      <c r="H113" s="1"/>
    </row>
    <row r="114" spans="1:8" x14ac:dyDescent="0.3">
      <c r="A114" s="3" t="s">
        <v>10</v>
      </c>
      <c r="B114" s="7" t="s">
        <v>40</v>
      </c>
      <c r="C114" s="7"/>
      <c r="D114" s="7"/>
      <c r="E114" s="7"/>
      <c r="F114" s="7"/>
      <c r="G114" s="7"/>
      <c r="H114" s="7"/>
    </row>
  </sheetData>
  <mergeCells count="11">
    <mergeCell ref="A95:H95"/>
    <mergeCell ref="B114:H114"/>
    <mergeCell ref="B92:H92"/>
    <mergeCell ref="A1:H1"/>
    <mergeCell ref="B67:H67"/>
    <mergeCell ref="B45:H45"/>
    <mergeCell ref="A70:H70"/>
    <mergeCell ref="B22:H22"/>
    <mergeCell ref="A48:H48"/>
    <mergeCell ref="A3:H3"/>
    <mergeCell ref="A25:H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5" width="28" customWidth="1"/>
    <col min="6" max="6" width="32" customWidth="1"/>
  </cols>
  <sheetData>
    <row r="1" spans="1:6" x14ac:dyDescent="0.3">
      <c r="A1" s="2" t="s">
        <v>41</v>
      </c>
      <c r="B1" s="2" t="s">
        <v>42</v>
      </c>
      <c r="C1" s="2" t="s">
        <v>6</v>
      </c>
      <c r="D1" s="2" t="s">
        <v>43</v>
      </c>
      <c r="E1" s="2" t="s">
        <v>44</v>
      </c>
      <c r="F1" s="2" t="s">
        <v>45</v>
      </c>
    </row>
    <row r="2" spans="1:6" x14ac:dyDescent="0.3">
      <c r="A2" s="1" t="s">
        <v>46</v>
      </c>
      <c r="B2" s="1" t="s">
        <v>47</v>
      </c>
      <c r="C2" s="1">
        <v>0.5222329678670935</v>
      </c>
      <c r="D2" s="1">
        <v>0.61411725480839385</v>
      </c>
      <c r="E2" s="1">
        <v>0.05</v>
      </c>
      <c r="F2" s="1" t="s">
        <v>48</v>
      </c>
    </row>
    <row r="3" spans="1:6" x14ac:dyDescent="0.3">
      <c r="A3" s="1" t="s">
        <v>49</v>
      </c>
      <c r="B3" s="1" t="s">
        <v>50</v>
      </c>
      <c r="C3" s="1">
        <v>-4.2338304870899259</v>
      </c>
      <c r="D3" s="1">
        <v>4.9926438210419976E-4</v>
      </c>
      <c r="E3" s="1">
        <v>0.05</v>
      </c>
      <c r="F3" s="1" t="s">
        <v>51</v>
      </c>
    </row>
    <row r="4" spans="1:6" x14ac:dyDescent="0.3">
      <c r="A4" s="1" t="s">
        <v>52</v>
      </c>
      <c r="B4" s="1" t="s">
        <v>53</v>
      </c>
      <c r="C4" s="1">
        <v>27.74999999999994</v>
      </c>
      <c r="D4" s="1">
        <v>4.9757460434214958E-10</v>
      </c>
      <c r="E4" s="1">
        <v>0.05</v>
      </c>
      <c r="F4" s="1" t="s">
        <v>51</v>
      </c>
    </row>
    <row r="5" spans="1:6" x14ac:dyDescent="0.3">
      <c r="A5" s="1" t="s">
        <v>54</v>
      </c>
      <c r="B5" s="1" t="s">
        <v>50</v>
      </c>
      <c r="C5" s="1">
        <v>1.976607382407056</v>
      </c>
      <c r="D5" s="1">
        <v>5.8010893079668779E-2</v>
      </c>
      <c r="E5" s="1">
        <v>0.05</v>
      </c>
      <c r="F5" s="1" t="s">
        <v>48</v>
      </c>
    </row>
    <row r="6" spans="1:6" x14ac:dyDescent="0.3">
      <c r="A6" s="1" t="s">
        <v>55</v>
      </c>
      <c r="B6" s="1" t="s">
        <v>47</v>
      </c>
      <c r="C6" s="1">
        <v>0.6348110542727381</v>
      </c>
      <c r="D6" s="1">
        <v>0.54135129764568557</v>
      </c>
      <c r="E6" s="1">
        <v>0.05</v>
      </c>
      <c r="F6" s="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 T-Tests</vt:lpstr>
      <vt:lpstr>Verified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keyu devani</cp:lastModifiedBy>
  <dcterms:created xsi:type="dcterms:W3CDTF">2026-08-18T13:39:14Z</dcterms:created>
  <dcterms:modified xsi:type="dcterms:W3CDTF">2026-08-18T13:40:09Z</dcterms:modified>
</cp:coreProperties>
</file>