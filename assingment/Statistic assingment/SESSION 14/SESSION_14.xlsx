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01A015E-24D9-46C0-B20A-1929FAA237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SION 14" sheetId="1" r:id="rId1"/>
    <sheet name="Verified Result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  <c r="B54" i="1" s="1"/>
  <c r="B73" i="1"/>
  <c r="B75" i="1" s="1"/>
  <c r="B72" i="1"/>
  <c r="D69" i="1"/>
  <c r="E69" i="1" s="1"/>
  <c r="D68" i="1"/>
  <c r="E68" i="1" s="1"/>
  <c r="B71" i="1" s="1"/>
  <c r="C62" i="1"/>
  <c r="B62" i="1"/>
  <c r="D61" i="1"/>
  <c r="D60" i="1"/>
  <c r="E60" i="1" s="1"/>
  <c r="D59" i="1"/>
  <c r="D62" i="1" s="1"/>
  <c r="B51" i="1"/>
  <c r="D31" i="1"/>
  <c r="C31" i="1"/>
  <c r="B31" i="1"/>
  <c r="E31" i="1" s="1"/>
  <c r="D30" i="1"/>
  <c r="C30" i="1"/>
  <c r="B30" i="1"/>
  <c r="D29" i="1"/>
  <c r="C29" i="1"/>
  <c r="B29" i="1"/>
  <c r="E61" i="1" l="1"/>
  <c r="F59" i="1"/>
  <c r="E59" i="1"/>
  <c r="F60" i="1"/>
  <c r="C32" i="1"/>
  <c r="F61" i="1"/>
  <c r="D32" i="1"/>
  <c r="E29" i="1"/>
  <c r="E30" i="1"/>
  <c r="B32" i="1"/>
  <c r="E32" i="1" l="1"/>
  <c r="B41" i="1" s="1"/>
  <c r="B48" i="1" l="1"/>
  <c r="B40" i="1"/>
  <c r="C39" i="1"/>
  <c r="C46" i="1" s="1"/>
  <c r="C41" i="1"/>
  <c r="C48" i="1" s="1"/>
  <c r="D40" i="1"/>
  <c r="D47" i="1" s="1"/>
  <c r="B39" i="1"/>
  <c r="C40" i="1"/>
  <c r="C47" i="1" s="1"/>
  <c r="D39" i="1"/>
  <c r="D46" i="1" s="1"/>
  <c r="D41" i="1"/>
  <c r="D48" i="1" s="1"/>
  <c r="E39" i="1" l="1"/>
  <c r="B46" i="1"/>
  <c r="B50" i="1" s="1"/>
  <c r="E40" i="1"/>
  <c r="B47" i="1"/>
  <c r="E41" i="1"/>
</calcChain>
</file>

<file path=xl/sharedStrings.xml><?xml version="1.0" encoding="utf-8"?>
<sst xmlns="http://schemas.openxmlformats.org/spreadsheetml/2006/main" count="129" uniqueCount="60">
  <si>
    <t>SESSION 14 – CHI-SQUARE TEST ASSIGNMENT</t>
  </si>
  <si>
    <t>TASK 1: Contingency Table – Food Delivery App vs Payment Method</t>
  </si>
  <si>
    <t>Response</t>
  </si>
  <si>
    <t>Favorite App</t>
  </si>
  <si>
    <t>Payment Method</t>
  </si>
  <si>
    <t>Zomato</t>
  </si>
  <si>
    <t>Paytm</t>
  </si>
  <si>
    <t>PhonePe</t>
  </si>
  <si>
    <t>Credit Card</t>
  </si>
  <si>
    <t>Swiggy</t>
  </si>
  <si>
    <t>Uber Eats</t>
  </si>
  <si>
    <t>Observed Contingency Table</t>
  </si>
  <si>
    <t>App</t>
  </si>
  <si>
    <t>Row Total</t>
  </si>
  <si>
    <t>Column Total</t>
  </si>
  <si>
    <t>TASK 3: Chi-Square Test of Independence</t>
  </si>
  <si>
    <t>Expected Counts</t>
  </si>
  <si>
    <t>Chi-Square Components: (Observed − Expected)^2 / Expected</t>
  </si>
  <si>
    <t>Chi-square statistic</t>
  </si>
  <si>
    <t>Degrees of freedom</t>
  </si>
  <si>
    <t>p-value</t>
  </si>
  <si>
    <t>Alpha</t>
  </si>
  <si>
    <t>Conclusion</t>
  </si>
  <si>
    <t>TASK 2: Expected Counts – Music Streaming Preference by Gender</t>
  </si>
  <si>
    <t>Music App</t>
  </si>
  <si>
    <t>Male Observed</t>
  </si>
  <si>
    <t>Female Observed</t>
  </si>
  <si>
    <t>Male Expected</t>
  </si>
  <si>
    <t>Female Expected</t>
  </si>
  <si>
    <t>Spotify</t>
  </si>
  <si>
    <t>Gaana</t>
  </si>
  <si>
    <t>YouTube Music</t>
  </si>
  <si>
    <t>TASK 4: Chi-Square Goodness-of-Fit – Flipkart Product Preference</t>
  </si>
  <si>
    <t>Preference</t>
  </si>
  <si>
    <t>Observed</t>
  </si>
  <si>
    <t>Claimed Proportion</t>
  </si>
  <si>
    <t>Expected</t>
  </si>
  <si>
    <t>Chi-Square Component</t>
  </si>
  <si>
    <t>Prefer</t>
  </si>
  <si>
    <t>Do Not Prefer</t>
  </si>
  <si>
    <t>Task</t>
  </si>
  <si>
    <t>Chi-square / Statistic</t>
  </si>
  <si>
    <t>df</t>
  </si>
  <si>
    <t>Task 1</t>
  </si>
  <si>
    <t>No significant association</t>
  </si>
  <si>
    <t>Task 2 – Expected counts</t>
  </si>
  <si>
    <t>See SESSION 14 sheet</t>
  </si>
  <si>
    <t>—</t>
  </si>
  <si>
    <t>Expected counts calculated using row total × column total / grand total</t>
  </si>
  <si>
    <t>Task 3</t>
  </si>
  <si>
    <t>Task 4</t>
  </si>
  <si>
    <t>Fail to reject the 70% claim</t>
  </si>
  <si>
    <t>SESSION 14 NOTES</t>
  </si>
  <si>
    <t>20 sample responses are included in the raw data and summarized in a 3×3 contingency table.</t>
  </si>
  <si>
    <t>Task 2</t>
  </si>
  <si>
    <t>Expected count formula: (row total × column total) / grand total.</t>
  </si>
  <si>
    <t>Chi-square independence test uses the Task 1 contingency table. H0: app choice and payment method are independent.</t>
  </si>
  <si>
    <t>Goodness-of-fit test compares observed counts (18,12) with expected counts (21,9) under the 70% claim.</t>
  </si>
  <si>
    <t>Significance level</t>
  </si>
  <si>
    <t>α = 0.05.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</si>
</sst>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pane ySplit="2" topLeftCell="A56" activePane="bottomLeft" state="frozen"/>
      <selection pane="bottomLeft" activeCell="B53" sqref="B53"/>
    </sheetView>
  </sheetViews>
  <sheetFormatPr defaultRowHeight="14.4" x14ac:dyDescent="0.3"/>
  <cols>
    <col min="1" max="8" width="25" customWidth="1"/>
  </cols>
  <sheetData>
    <row r="1" spans="1:8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6" t="s">
        <v>1</v>
      </c>
      <c r="B3" s="7"/>
      <c r="C3" s="7"/>
      <c r="D3" s="7"/>
      <c r="E3" s="7"/>
      <c r="F3" s="7"/>
      <c r="G3" s="7"/>
      <c r="H3" s="7"/>
    </row>
    <row r="4" spans="1:8" x14ac:dyDescent="0.3">
      <c r="A4" s="2" t="s">
        <v>2</v>
      </c>
      <c r="B4" s="2" t="s">
        <v>3</v>
      </c>
      <c r="C4" s="2" t="s">
        <v>4</v>
      </c>
      <c r="D4" s="1"/>
      <c r="E4" s="1"/>
      <c r="F4" s="1"/>
      <c r="G4" s="1"/>
      <c r="H4" s="1"/>
    </row>
    <row r="5" spans="1:8" x14ac:dyDescent="0.3">
      <c r="A5" s="1">
        <v>1</v>
      </c>
      <c r="B5" s="1" t="s">
        <v>5</v>
      </c>
      <c r="C5" s="1" t="s">
        <v>6</v>
      </c>
      <c r="D5" s="1"/>
      <c r="E5" s="1"/>
      <c r="F5" s="1"/>
      <c r="G5" s="1"/>
      <c r="H5" s="1"/>
    </row>
    <row r="6" spans="1:8" x14ac:dyDescent="0.3">
      <c r="A6" s="1">
        <v>2</v>
      </c>
      <c r="B6" s="1" t="s">
        <v>5</v>
      </c>
      <c r="C6" s="1" t="s">
        <v>7</v>
      </c>
      <c r="D6" s="1"/>
      <c r="E6" s="1"/>
      <c r="F6" s="1"/>
      <c r="G6" s="1"/>
      <c r="H6" s="1"/>
    </row>
    <row r="7" spans="1:8" x14ac:dyDescent="0.3">
      <c r="A7" s="1">
        <v>3</v>
      </c>
      <c r="B7" s="1" t="s">
        <v>5</v>
      </c>
      <c r="C7" s="1" t="s">
        <v>8</v>
      </c>
      <c r="D7" s="1"/>
      <c r="E7" s="1"/>
      <c r="F7" s="1"/>
      <c r="G7" s="1"/>
      <c r="H7" s="1"/>
    </row>
    <row r="8" spans="1:8" x14ac:dyDescent="0.3">
      <c r="A8" s="1">
        <v>4</v>
      </c>
      <c r="B8" s="1" t="s">
        <v>5</v>
      </c>
      <c r="C8" s="1" t="s">
        <v>7</v>
      </c>
      <c r="D8" s="1"/>
      <c r="E8" s="1"/>
      <c r="F8" s="1"/>
      <c r="G8" s="1"/>
      <c r="H8" s="1"/>
    </row>
    <row r="9" spans="1:8" x14ac:dyDescent="0.3">
      <c r="A9" s="1">
        <v>5</v>
      </c>
      <c r="B9" s="1" t="s">
        <v>5</v>
      </c>
      <c r="C9" s="1" t="s">
        <v>6</v>
      </c>
      <c r="D9" s="1"/>
      <c r="E9" s="1"/>
      <c r="F9" s="1"/>
      <c r="G9" s="1"/>
      <c r="H9" s="1"/>
    </row>
    <row r="10" spans="1:8" x14ac:dyDescent="0.3">
      <c r="A10" s="1">
        <v>6</v>
      </c>
      <c r="B10" s="1" t="s">
        <v>5</v>
      </c>
      <c r="C10" s="1" t="s">
        <v>8</v>
      </c>
      <c r="D10" s="1"/>
      <c r="E10" s="1"/>
      <c r="F10" s="1"/>
      <c r="G10" s="1"/>
      <c r="H10" s="1"/>
    </row>
    <row r="11" spans="1:8" x14ac:dyDescent="0.3">
      <c r="A11" s="1">
        <v>7</v>
      </c>
      <c r="B11" s="1" t="s">
        <v>5</v>
      </c>
      <c r="C11" s="1" t="s">
        <v>7</v>
      </c>
      <c r="D11" s="1"/>
      <c r="E11" s="1"/>
      <c r="F11" s="1"/>
      <c r="G11" s="1"/>
      <c r="H11" s="1"/>
    </row>
    <row r="12" spans="1:8" x14ac:dyDescent="0.3">
      <c r="A12" s="1">
        <v>8</v>
      </c>
      <c r="B12" s="1" t="s">
        <v>9</v>
      </c>
      <c r="C12" s="1" t="s">
        <v>6</v>
      </c>
      <c r="D12" s="1"/>
      <c r="E12" s="1"/>
      <c r="F12" s="1"/>
      <c r="G12" s="1"/>
      <c r="H12" s="1"/>
    </row>
    <row r="13" spans="1:8" x14ac:dyDescent="0.3">
      <c r="A13" s="1">
        <v>9</v>
      </c>
      <c r="B13" s="1" t="s">
        <v>9</v>
      </c>
      <c r="C13" s="1" t="s">
        <v>7</v>
      </c>
      <c r="D13" s="1"/>
      <c r="E13" s="1"/>
      <c r="F13" s="1"/>
      <c r="G13" s="1"/>
      <c r="H13" s="1"/>
    </row>
    <row r="14" spans="1:8" x14ac:dyDescent="0.3">
      <c r="A14" s="1">
        <v>10</v>
      </c>
      <c r="B14" s="1" t="s">
        <v>9</v>
      </c>
      <c r="C14" s="1" t="s">
        <v>7</v>
      </c>
      <c r="D14" s="1"/>
      <c r="E14" s="1"/>
      <c r="F14" s="1"/>
      <c r="G14" s="1"/>
      <c r="H14" s="1"/>
    </row>
    <row r="15" spans="1:8" x14ac:dyDescent="0.3">
      <c r="A15" s="1">
        <v>11</v>
      </c>
      <c r="B15" s="1" t="s">
        <v>9</v>
      </c>
      <c r="C15" s="1" t="s">
        <v>8</v>
      </c>
      <c r="D15" s="1"/>
      <c r="E15" s="1"/>
      <c r="F15" s="1"/>
      <c r="G15" s="1"/>
      <c r="H15" s="1"/>
    </row>
    <row r="16" spans="1:8" x14ac:dyDescent="0.3">
      <c r="A16" s="1">
        <v>12</v>
      </c>
      <c r="B16" s="1" t="s">
        <v>9</v>
      </c>
      <c r="C16" s="1" t="s">
        <v>6</v>
      </c>
      <c r="D16" s="1"/>
      <c r="E16" s="1"/>
      <c r="F16" s="1"/>
      <c r="G16" s="1"/>
      <c r="H16" s="1"/>
    </row>
    <row r="17" spans="1:8" x14ac:dyDescent="0.3">
      <c r="A17" s="1">
        <v>13</v>
      </c>
      <c r="B17" s="1" t="s">
        <v>9</v>
      </c>
      <c r="C17" s="1" t="s">
        <v>8</v>
      </c>
      <c r="D17" s="1"/>
      <c r="E17" s="1"/>
      <c r="F17" s="1"/>
      <c r="G17" s="1"/>
      <c r="H17" s="1"/>
    </row>
    <row r="18" spans="1:8" x14ac:dyDescent="0.3">
      <c r="A18" s="1">
        <v>14</v>
      </c>
      <c r="B18" s="1" t="s">
        <v>9</v>
      </c>
      <c r="C18" s="1" t="s">
        <v>7</v>
      </c>
      <c r="D18" s="1"/>
      <c r="E18" s="1"/>
      <c r="F18" s="1"/>
      <c r="G18" s="1"/>
      <c r="H18" s="1"/>
    </row>
    <row r="19" spans="1:8" x14ac:dyDescent="0.3">
      <c r="A19" s="1">
        <v>15</v>
      </c>
      <c r="B19" s="1" t="s">
        <v>10</v>
      </c>
      <c r="C19" s="1" t="s">
        <v>6</v>
      </c>
      <c r="D19" s="1"/>
      <c r="E19" s="1"/>
      <c r="F19" s="1"/>
      <c r="G19" s="1"/>
      <c r="H19" s="1"/>
    </row>
    <row r="20" spans="1:8" x14ac:dyDescent="0.3">
      <c r="A20" s="1">
        <v>16</v>
      </c>
      <c r="B20" s="1" t="s">
        <v>10</v>
      </c>
      <c r="C20" s="1" t="s">
        <v>8</v>
      </c>
      <c r="D20" s="1"/>
      <c r="E20" s="1"/>
      <c r="F20" s="1"/>
      <c r="G20" s="1"/>
      <c r="H20" s="1"/>
    </row>
    <row r="21" spans="1:8" x14ac:dyDescent="0.3">
      <c r="A21" s="1">
        <v>17</v>
      </c>
      <c r="B21" s="1" t="s">
        <v>10</v>
      </c>
      <c r="C21" s="1" t="s">
        <v>7</v>
      </c>
      <c r="D21" s="1"/>
      <c r="E21" s="1"/>
      <c r="F21" s="1"/>
      <c r="G21" s="1"/>
      <c r="H21" s="1"/>
    </row>
    <row r="22" spans="1:8" x14ac:dyDescent="0.3">
      <c r="A22" s="1">
        <v>18</v>
      </c>
      <c r="B22" s="1" t="s">
        <v>10</v>
      </c>
      <c r="C22" s="1" t="s">
        <v>6</v>
      </c>
      <c r="D22" s="1"/>
      <c r="E22" s="1"/>
      <c r="F22" s="1"/>
      <c r="G22" s="1"/>
      <c r="H22" s="1"/>
    </row>
    <row r="23" spans="1:8" x14ac:dyDescent="0.3">
      <c r="A23" s="1">
        <v>19</v>
      </c>
      <c r="B23" s="1" t="s">
        <v>10</v>
      </c>
      <c r="C23" s="1" t="s">
        <v>8</v>
      </c>
      <c r="D23" s="1"/>
      <c r="E23" s="1"/>
      <c r="F23" s="1"/>
      <c r="G23" s="1"/>
      <c r="H23" s="1"/>
    </row>
    <row r="24" spans="1:8" x14ac:dyDescent="0.3">
      <c r="A24" s="1">
        <v>20</v>
      </c>
      <c r="B24" s="1" t="s">
        <v>10</v>
      </c>
      <c r="C24" s="1" t="s">
        <v>7</v>
      </c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ht="28.8" x14ac:dyDescent="0.3">
      <c r="A27" s="3" t="s">
        <v>11</v>
      </c>
      <c r="B27" s="1"/>
      <c r="C27" s="1"/>
      <c r="D27" s="1"/>
      <c r="E27" s="1"/>
      <c r="F27" s="1"/>
      <c r="G27" s="1"/>
      <c r="H27" s="1"/>
    </row>
    <row r="28" spans="1:8" x14ac:dyDescent="0.3">
      <c r="A28" s="2" t="s">
        <v>12</v>
      </c>
      <c r="B28" s="2" t="s">
        <v>6</v>
      </c>
      <c r="C28" s="2" t="s">
        <v>7</v>
      </c>
      <c r="D28" s="2" t="s">
        <v>8</v>
      </c>
      <c r="E28" s="2" t="s">
        <v>13</v>
      </c>
      <c r="F28" s="1"/>
      <c r="G28" s="1"/>
      <c r="H28" s="1"/>
    </row>
    <row r="29" spans="1:8" x14ac:dyDescent="0.3">
      <c r="A29" s="1" t="s">
        <v>5</v>
      </c>
      <c r="B29" s="1">
        <f>COUNTIFS($B$5:$B$24,A29,$C$5:$C$24,B$28)</f>
        <v>2</v>
      </c>
      <c r="C29" s="1">
        <f>COUNTIFS($B$5:$B$24,A29,$C$5:$C$24,C$28)</f>
        <v>3</v>
      </c>
      <c r="D29" s="1">
        <f>COUNTIFS($B$5:$B$24,A29,$C$5:$C$24,D$28)</f>
        <v>2</v>
      </c>
      <c r="E29" s="1">
        <f>SUM(B29:D29)</f>
        <v>7</v>
      </c>
      <c r="F29" s="1"/>
      <c r="G29" s="1"/>
      <c r="H29" s="1"/>
    </row>
    <row r="30" spans="1:8" x14ac:dyDescent="0.3">
      <c r="A30" s="1" t="s">
        <v>9</v>
      </c>
      <c r="B30" s="1">
        <f>COUNTIFS($B$5:$B$24,A30,$C$5:$C$24,B$28)</f>
        <v>2</v>
      </c>
      <c r="C30" s="1">
        <f>COUNTIFS($B$5:$B$24,A30,$C$5:$C$24,C$28)</f>
        <v>3</v>
      </c>
      <c r="D30" s="1">
        <f>COUNTIFS($B$5:$B$24,A30,$C$5:$C$24,D$28)</f>
        <v>2</v>
      </c>
      <c r="E30" s="1">
        <f>SUM(B30:D30)</f>
        <v>7</v>
      </c>
      <c r="F30" s="1"/>
      <c r="G30" s="1"/>
      <c r="H30" s="1"/>
    </row>
    <row r="31" spans="1:8" x14ac:dyDescent="0.3">
      <c r="A31" s="1" t="s">
        <v>10</v>
      </c>
      <c r="B31" s="1">
        <f>COUNTIFS($B$5:$B$24,A31,$C$5:$C$24,B$28)</f>
        <v>2</v>
      </c>
      <c r="C31" s="1">
        <f>COUNTIFS($B$5:$B$24,A31,$C$5:$C$24,C$28)</f>
        <v>2</v>
      </c>
      <c r="D31" s="1">
        <f>COUNTIFS($B$5:$B$24,A31,$C$5:$C$24,D$28)</f>
        <v>2</v>
      </c>
      <c r="E31" s="1">
        <f>SUM(B31:D31)</f>
        <v>6</v>
      </c>
      <c r="F31" s="1"/>
      <c r="G31" s="1"/>
      <c r="H31" s="1"/>
    </row>
    <row r="32" spans="1:8" x14ac:dyDescent="0.3">
      <c r="A32" s="3" t="s">
        <v>14</v>
      </c>
      <c r="B32" s="1">
        <f>SUM(B29:B31)</f>
        <v>6</v>
      </c>
      <c r="C32" s="1">
        <f>SUM(C29:C31)</f>
        <v>8</v>
      </c>
      <c r="D32" s="1">
        <f>SUM(D29:D31)</f>
        <v>6</v>
      </c>
      <c r="E32" s="1">
        <f>SUM(E29:E31)</f>
        <v>20</v>
      </c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6" t="s">
        <v>15</v>
      </c>
      <c r="B35" s="7"/>
      <c r="C35" s="7"/>
      <c r="D35" s="7"/>
      <c r="E35" s="7"/>
      <c r="F35" s="7"/>
      <c r="G35" s="7"/>
      <c r="H35" s="7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 t="s">
        <v>16</v>
      </c>
      <c r="B37" s="1"/>
      <c r="C37" s="1"/>
      <c r="D37" s="1"/>
      <c r="E37" s="1"/>
      <c r="F37" s="1"/>
      <c r="G37" s="1"/>
      <c r="H37" s="1"/>
    </row>
    <row r="38" spans="1:8" x14ac:dyDescent="0.3">
      <c r="A38" s="2" t="s">
        <v>12</v>
      </c>
      <c r="B38" s="2" t="s">
        <v>6</v>
      </c>
      <c r="C38" s="2" t="s">
        <v>7</v>
      </c>
      <c r="D38" s="2" t="s">
        <v>8</v>
      </c>
      <c r="E38" s="2" t="s">
        <v>13</v>
      </c>
      <c r="F38" s="1"/>
      <c r="G38" s="1"/>
      <c r="H38" s="1"/>
    </row>
    <row r="39" spans="1:8" x14ac:dyDescent="0.3">
      <c r="A39" s="1" t="s">
        <v>5</v>
      </c>
      <c r="B39" s="1">
        <f t="shared" ref="B39:D41" si="0">$E29*B$32/$E$32</f>
        <v>2.1</v>
      </c>
      <c r="C39" s="1">
        <f t="shared" si="0"/>
        <v>2.8</v>
      </c>
      <c r="D39" s="1">
        <f t="shared" si="0"/>
        <v>2.1</v>
      </c>
      <c r="E39" s="1">
        <f>SUM(B39:D39)</f>
        <v>7</v>
      </c>
      <c r="F39" s="1"/>
      <c r="G39" s="1"/>
      <c r="H39" s="1"/>
    </row>
    <row r="40" spans="1:8" x14ac:dyDescent="0.3">
      <c r="A40" s="1" t="s">
        <v>9</v>
      </c>
      <c r="B40" s="1">
        <f t="shared" si="0"/>
        <v>2.1</v>
      </c>
      <c r="C40" s="1">
        <f t="shared" si="0"/>
        <v>2.8</v>
      </c>
      <c r="D40" s="1">
        <f t="shared" si="0"/>
        <v>2.1</v>
      </c>
      <c r="E40" s="1">
        <f>SUM(B40:D40)</f>
        <v>7</v>
      </c>
      <c r="F40" s="1"/>
      <c r="G40" s="1"/>
      <c r="H40" s="1"/>
    </row>
    <row r="41" spans="1:8" x14ac:dyDescent="0.3">
      <c r="A41" s="1" t="s">
        <v>10</v>
      </c>
      <c r="B41" s="1">
        <f t="shared" si="0"/>
        <v>1.8</v>
      </c>
      <c r="C41" s="1">
        <f t="shared" si="0"/>
        <v>2.4</v>
      </c>
      <c r="D41" s="1">
        <f t="shared" si="0"/>
        <v>1.8</v>
      </c>
      <c r="E41" s="1">
        <f>SUM(B41:D41)</f>
        <v>6</v>
      </c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ht="43.2" x14ac:dyDescent="0.3">
      <c r="A44" s="3" t="s">
        <v>17</v>
      </c>
      <c r="B44" s="1"/>
      <c r="C44" s="1"/>
      <c r="D44" s="1"/>
      <c r="E44" s="1"/>
      <c r="F44" s="1"/>
      <c r="G44" s="1"/>
      <c r="H44" s="1"/>
    </row>
    <row r="45" spans="1:8" x14ac:dyDescent="0.3">
      <c r="A45" s="2" t="s">
        <v>12</v>
      </c>
      <c r="B45" s="2" t="s">
        <v>6</v>
      </c>
      <c r="C45" s="2" t="s">
        <v>7</v>
      </c>
      <c r="D45" s="2" t="s">
        <v>8</v>
      </c>
      <c r="E45" s="1"/>
      <c r="F45" s="1"/>
      <c r="G45" s="1"/>
      <c r="H45" s="1"/>
    </row>
    <row r="46" spans="1:8" x14ac:dyDescent="0.3">
      <c r="A46" s="1" t="s">
        <v>5</v>
      </c>
      <c r="B46" s="1">
        <f t="shared" ref="B46:D48" si="1">(B29-B39)^2/B39</f>
        <v>4.7619047619047701E-3</v>
      </c>
      <c r="C46" s="1">
        <f t="shared" si="1"/>
        <v>1.4285714285714311E-2</v>
      </c>
      <c r="D46" s="1">
        <f t="shared" si="1"/>
        <v>4.7619047619047701E-3</v>
      </c>
      <c r="E46" s="1"/>
      <c r="F46" s="1"/>
      <c r="G46" s="1"/>
      <c r="H46" s="1"/>
    </row>
    <row r="47" spans="1:8" x14ac:dyDescent="0.3">
      <c r="A47" s="1" t="s">
        <v>9</v>
      </c>
      <c r="B47" s="1">
        <f t="shared" si="1"/>
        <v>4.7619047619047701E-3</v>
      </c>
      <c r="C47" s="1">
        <f t="shared" si="1"/>
        <v>1.4285714285714311E-2</v>
      </c>
      <c r="D47" s="1">
        <f t="shared" si="1"/>
        <v>4.7619047619047701E-3</v>
      </c>
      <c r="E47" s="1"/>
      <c r="F47" s="1"/>
      <c r="G47" s="1"/>
      <c r="H47" s="1"/>
    </row>
    <row r="48" spans="1:8" x14ac:dyDescent="0.3">
      <c r="A48" s="1" t="s">
        <v>10</v>
      </c>
      <c r="B48" s="1">
        <f t="shared" si="1"/>
        <v>2.2222222222222209E-2</v>
      </c>
      <c r="C48" s="1">
        <f t="shared" si="1"/>
        <v>6.6666666666666638E-2</v>
      </c>
      <c r="D48" s="1">
        <f t="shared" si="1"/>
        <v>2.2222222222222209E-2</v>
      </c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3" t="s">
        <v>18</v>
      </c>
      <c r="B50" s="1">
        <f>SUM(B46:D48)</f>
        <v>0.15873015873015875</v>
      </c>
      <c r="C50" s="1"/>
      <c r="D50" s="1"/>
      <c r="E50" s="1"/>
      <c r="F50" s="1"/>
      <c r="G50" s="1"/>
      <c r="H50" s="1"/>
    </row>
    <row r="51" spans="1:8" x14ac:dyDescent="0.3">
      <c r="A51" s="3" t="s">
        <v>19</v>
      </c>
      <c r="B51" s="1">
        <f>(3-1)*(3-1)</f>
        <v>4</v>
      </c>
      <c r="C51" s="1"/>
      <c r="D51" s="1"/>
      <c r="E51" s="1"/>
      <c r="F51" s="1"/>
      <c r="G51" s="1"/>
      <c r="H51" s="1"/>
    </row>
    <row r="52" spans="1:8" x14ac:dyDescent="0.3">
      <c r="A52" s="3" t="s">
        <v>20</v>
      </c>
      <c r="B52" s="1">
        <f>_xlfn.CHISQ.DIST.RT(B50,B51)</f>
        <v>0.99701237129122799</v>
      </c>
      <c r="C52" s="1"/>
      <c r="D52" s="1"/>
      <c r="E52" s="1"/>
      <c r="F52" s="1"/>
      <c r="G52" s="1"/>
      <c r="H52" s="1"/>
    </row>
    <row r="53" spans="1:8" x14ac:dyDescent="0.3">
      <c r="A53" s="3" t="s">
        <v>21</v>
      </c>
      <c r="B53" s="4">
        <v>0.05</v>
      </c>
      <c r="C53" s="1"/>
      <c r="D53" s="1"/>
      <c r="E53" s="1"/>
      <c r="F53" s="1"/>
      <c r="G53" s="1"/>
      <c r="H53" s="1"/>
    </row>
    <row r="54" spans="1:8" x14ac:dyDescent="0.3">
      <c r="A54" s="3" t="s">
        <v>22</v>
      </c>
      <c r="B54" s="5" t="str">
        <f>IF(B52&lt;B53,"Significant association between app choice and payment method","No significant association between app choice and payment method")</f>
        <v>No significant association between app choice and payment method</v>
      </c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6" t="s">
        <v>23</v>
      </c>
      <c r="B57" s="7"/>
      <c r="C57" s="7"/>
      <c r="D57" s="7"/>
      <c r="E57" s="7"/>
      <c r="F57" s="7"/>
      <c r="G57" s="7"/>
      <c r="H57" s="7"/>
    </row>
    <row r="58" spans="1:8" x14ac:dyDescent="0.3">
      <c r="A58" s="2" t="s">
        <v>24</v>
      </c>
      <c r="B58" s="2" t="s">
        <v>25</v>
      </c>
      <c r="C58" s="2" t="s">
        <v>26</v>
      </c>
      <c r="D58" s="2" t="s">
        <v>13</v>
      </c>
      <c r="E58" s="2" t="s">
        <v>27</v>
      </c>
      <c r="F58" s="2" t="s">
        <v>28</v>
      </c>
      <c r="G58" s="1"/>
      <c r="H58" s="1"/>
    </row>
    <row r="59" spans="1:8" x14ac:dyDescent="0.3">
      <c r="A59" s="1" t="s">
        <v>29</v>
      </c>
      <c r="B59" s="1">
        <v>12</v>
      </c>
      <c r="C59" s="1">
        <v>18</v>
      </c>
      <c r="D59" s="1">
        <f>SUM(B59:C59)</f>
        <v>30</v>
      </c>
      <c r="E59" s="1">
        <f>$D59*$B$62/$D$62</f>
        <v>12.857142857142858</v>
      </c>
      <c r="F59" s="1">
        <f>$D59*$C$62/$D$62</f>
        <v>17.142857142857142</v>
      </c>
      <c r="G59" s="1"/>
      <c r="H59" s="1"/>
    </row>
    <row r="60" spans="1:8" x14ac:dyDescent="0.3">
      <c r="A60" s="1" t="s">
        <v>30</v>
      </c>
      <c r="B60" s="1">
        <v>8</v>
      </c>
      <c r="C60" s="1">
        <v>7</v>
      </c>
      <c r="D60" s="1">
        <f>SUM(B60:C60)</f>
        <v>15</v>
      </c>
      <c r="E60" s="1">
        <f>$D60*$B$62/$D$62</f>
        <v>6.4285714285714288</v>
      </c>
      <c r="F60" s="1">
        <f>$D60*$C$62/$D$62</f>
        <v>8.5714285714285712</v>
      </c>
      <c r="G60" s="1"/>
      <c r="H60" s="1"/>
    </row>
    <row r="61" spans="1:8" x14ac:dyDescent="0.3">
      <c r="A61" s="1" t="s">
        <v>31</v>
      </c>
      <c r="B61" s="1">
        <v>10</v>
      </c>
      <c r="C61" s="1">
        <v>15</v>
      </c>
      <c r="D61" s="1">
        <f>SUM(B61:C61)</f>
        <v>25</v>
      </c>
      <c r="E61" s="1">
        <f>$D61*$B$62/$D$62</f>
        <v>10.714285714285714</v>
      </c>
      <c r="F61" s="1">
        <f>$D61*$C$62/$D$62</f>
        <v>14.285714285714286</v>
      </c>
      <c r="G61" s="1"/>
      <c r="H61" s="1"/>
    </row>
    <row r="62" spans="1:8" x14ac:dyDescent="0.3">
      <c r="A62" s="3" t="s">
        <v>14</v>
      </c>
      <c r="B62" s="1">
        <f>SUM(B59:B61)</f>
        <v>30</v>
      </c>
      <c r="C62" s="1">
        <f>SUM(C59:C61)</f>
        <v>40</v>
      </c>
      <c r="D62" s="1">
        <f>SUM(D59:D61)</f>
        <v>70</v>
      </c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6" t="s">
        <v>32</v>
      </c>
      <c r="B66" s="7"/>
      <c r="C66" s="7"/>
      <c r="D66" s="7"/>
      <c r="E66" s="7"/>
      <c r="F66" s="7"/>
      <c r="G66" s="7"/>
      <c r="H66" s="7"/>
    </row>
    <row r="67" spans="1:8" x14ac:dyDescent="0.3">
      <c r="A67" s="2" t="s">
        <v>33</v>
      </c>
      <c r="B67" s="2" t="s">
        <v>34</v>
      </c>
      <c r="C67" s="2" t="s">
        <v>35</v>
      </c>
      <c r="D67" s="2" t="s">
        <v>36</v>
      </c>
      <c r="E67" s="2" t="s">
        <v>37</v>
      </c>
      <c r="F67" s="1"/>
      <c r="G67" s="1"/>
      <c r="H67" s="1"/>
    </row>
    <row r="68" spans="1:8" x14ac:dyDescent="0.3">
      <c r="A68" s="1" t="s">
        <v>38</v>
      </c>
      <c r="B68" s="1">
        <v>18</v>
      </c>
      <c r="C68" s="4">
        <v>0.7</v>
      </c>
      <c r="D68" s="1">
        <f>30*C68</f>
        <v>21</v>
      </c>
      <c r="E68" s="1">
        <f>(B68-D68)^2/D68</f>
        <v>0.42857142857142855</v>
      </c>
      <c r="F68" s="1"/>
      <c r="G68" s="1"/>
      <c r="H68" s="1"/>
    </row>
    <row r="69" spans="1:8" x14ac:dyDescent="0.3">
      <c r="A69" s="1" t="s">
        <v>39</v>
      </c>
      <c r="B69" s="1">
        <v>12</v>
      </c>
      <c r="C69" s="4">
        <v>0.3</v>
      </c>
      <c r="D69" s="1">
        <f>30*C69</f>
        <v>9</v>
      </c>
      <c r="E69" s="1">
        <f>(B69-D69)^2/D69</f>
        <v>1</v>
      </c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3" t="s">
        <v>18</v>
      </c>
      <c r="B71" s="1">
        <f>SUM(E68:E69)</f>
        <v>1.4285714285714286</v>
      </c>
      <c r="C71" s="1"/>
      <c r="D71" s="1"/>
      <c r="E71" s="1"/>
      <c r="F71" s="1"/>
      <c r="G71" s="1"/>
      <c r="H71" s="1"/>
    </row>
    <row r="72" spans="1:8" x14ac:dyDescent="0.3">
      <c r="A72" s="3" t="s">
        <v>19</v>
      </c>
      <c r="B72" s="1">
        <f>2-1</f>
        <v>1</v>
      </c>
      <c r="C72" s="1"/>
      <c r="D72" s="1"/>
      <c r="E72" s="1"/>
      <c r="F72" s="1"/>
      <c r="G72" s="1"/>
      <c r="H72" s="1"/>
    </row>
    <row r="73" spans="1:8" x14ac:dyDescent="0.3">
      <c r="A73" s="3" t="s">
        <v>20</v>
      </c>
      <c r="B73" s="1" t="e">
        <f ca="1">_xludf.CHISQ.DIST.RT(B71,B72)</f>
        <v>#NAME?</v>
      </c>
      <c r="C73" s="1"/>
      <c r="D73" s="1"/>
      <c r="E73" s="1"/>
      <c r="F73" s="1"/>
      <c r="G73" s="1"/>
      <c r="H73" s="1"/>
    </row>
    <row r="74" spans="1:8" x14ac:dyDescent="0.3">
      <c r="A74" s="3" t="s">
        <v>21</v>
      </c>
      <c r="B74" s="4">
        <v>0.05</v>
      </c>
      <c r="C74" s="1"/>
      <c r="D74" s="1"/>
      <c r="E74" s="1"/>
      <c r="F74" s="1"/>
      <c r="G74" s="1"/>
      <c r="H74" s="1"/>
    </row>
    <row r="75" spans="1:8" x14ac:dyDescent="0.3">
      <c r="A75" s="3" t="s">
        <v>22</v>
      </c>
      <c r="B75" s="5" t="e">
        <f ca="1">IF(B73&lt;B74,"Reject the 70% claim","Fail to reject the 70% claim")</f>
        <v>#NAME?</v>
      </c>
      <c r="C75" s="1"/>
      <c r="D75" s="1"/>
      <c r="E75" s="1"/>
      <c r="F75" s="1"/>
      <c r="G75" s="1"/>
      <c r="H75" s="1"/>
    </row>
  </sheetData>
  <mergeCells count="5">
    <mergeCell ref="A3:H3"/>
    <mergeCell ref="A35:H35"/>
    <mergeCell ref="A57:H57"/>
    <mergeCell ref="A66:H6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5" width="25" customWidth="1"/>
  </cols>
  <sheetData>
    <row r="1" spans="1:5" x14ac:dyDescent="0.3">
      <c r="A1" s="2" t="s">
        <v>40</v>
      </c>
      <c r="B1" s="2" t="s">
        <v>41</v>
      </c>
      <c r="C1" s="2" t="s">
        <v>20</v>
      </c>
      <c r="D1" s="2" t="s">
        <v>42</v>
      </c>
      <c r="E1" s="2" t="s">
        <v>22</v>
      </c>
    </row>
    <row r="2" spans="1:5" x14ac:dyDescent="0.3">
      <c r="A2" s="1" t="s">
        <v>43</v>
      </c>
      <c r="B2" s="4">
        <v>0.15873015873015869</v>
      </c>
      <c r="C2" s="4">
        <v>0.99701237129122799</v>
      </c>
      <c r="D2" s="1">
        <v>4</v>
      </c>
      <c r="E2" s="1" t="s">
        <v>44</v>
      </c>
    </row>
    <row r="3" spans="1:5" ht="43.2" x14ac:dyDescent="0.3">
      <c r="A3" s="1" t="s">
        <v>45</v>
      </c>
      <c r="B3" s="1" t="s">
        <v>46</v>
      </c>
      <c r="C3" s="1" t="s">
        <v>47</v>
      </c>
      <c r="D3" s="1" t="s">
        <v>47</v>
      </c>
      <c r="E3" s="1" t="s">
        <v>48</v>
      </c>
    </row>
    <row r="4" spans="1:5" x14ac:dyDescent="0.3">
      <c r="A4" s="1" t="s">
        <v>49</v>
      </c>
      <c r="B4" s="4">
        <v>0.15873015873015869</v>
      </c>
      <c r="C4" s="4">
        <v>0.99701237129122799</v>
      </c>
      <c r="D4" s="1">
        <v>4</v>
      </c>
      <c r="E4" s="1" t="s">
        <v>44</v>
      </c>
    </row>
    <row r="5" spans="1:5" x14ac:dyDescent="0.3">
      <c r="A5" s="1" t="s">
        <v>50</v>
      </c>
      <c r="B5" s="4">
        <v>1.428571428571429</v>
      </c>
      <c r="C5" s="4">
        <v>0.2319977236287307</v>
      </c>
      <c r="D5" s="1">
        <v>1</v>
      </c>
      <c r="E5" s="1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25" customWidth="1"/>
  </cols>
  <sheetData>
    <row r="1" spans="1:2" x14ac:dyDescent="0.3">
      <c r="A1" s="1" t="s">
        <v>52</v>
      </c>
      <c r="B1" s="1"/>
    </row>
    <row r="2" spans="1:2" ht="57.6" x14ac:dyDescent="0.3">
      <c r="A2" s="1" t="s">
        <v>43</v>
      </c>
      <c r="B2" s="1" t="s">
        <v>53</v>
      </c>
    </row>
    <row r="3" spans="1:2" ht="43.2" x14ac:dyDescent="0.3">
      <c r="A3" s="1" t="s">
        <v>54</v>
      </c>
      <c r="B3" s="1" t="s">
        <v>55</v>
      </c>
    </row>
    <row r="4" spans="1:2" ht="72" x14ac:dyDescent="0.3">
      <c r="A4" s="1" t="s">
        <v>49</v>
      </c>
      <c r="B4" s="1" t="s">
        <v>56</v>
      </c>
    </row>
    <row r="5" spans="1:2" ht="57.6" x14ac:dyDescent="0.3">
      <c r="A5" s="1" t="s">
        <v>50</v>
      </c>
      <c r="B5" s="1" t="s">
        <v>57</v>
      </c>
    </row>
    <row r="6" spans="1:2" x14ac:dyDescent="0.3">
      <c r="A6" s="1" t="s">
        <v>58</v>
      </c>
      <c r="B6" s="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14</vt:lpstr>
      <vt:lpstr>Verified Results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keyu devani</cp:lastModifiedBy>
  <dcterms:created xsi:type="dcterms:W3CDTF">2026-08-18T13:42:59Z</dcterms:created>
  <dcterms:modified xsi:type="dcterms:W3CDTF">2026-08-18T13:44:20Z</dcterms:modified>
</cp:coreProperties>
</file>